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4385" tabRatio="129"/>
  </bookViews>
  <sheets>
    <sheet name="July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B92" i="1" l="1"/>
  <c r="T92" i="1"/>
  <c r="AB91" i="1"/>
  <c r="T91" i="1"/>
  <c r="U91" i="1" s="1"/>
  <c r="K91" i="1"/>
  <c r="U89" i="1"/>
  <c r="X89" i="1" s="1"/>
  <c r="AB89" i="1" s="1"/>
  <c r="T89" i="1"/>
  <c r="K89" i="1"/>
  <c r="O89" i="1" s="1"/>
  <c r="U88" i="1"/>
  <c r="X88" i="1" s="1"/>
  <c r="T88" i="1"/>
  <c r="K88" i="1"/>
  <c r="O88" i="1" s="1"/>
  <c r="V88" i="1" s="1"/>
  <c r="V87" i="1" s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A87" i="1"/>
  <c r="Z87" i="1"/>
  <c r="Y87" i="1"/>
  <c r="W87" i="1"/>
  <c r="T87" i="1"/>
  <c r="S87" i="1"/>
  <c r="R87" i="1"/>
  <c r="Q87" i="1"/>
  <c r="N87" i="1"/>
  <c r="M87" i="1"/>
  <c r="L87" i="1"/>
  <c r="K87" i="1"/>
  <c r="O87" i="1" s="1"/>
  <c r="J87" i="1"/>
  <c r="I87" i="1"/>
  <c r="H87" i="1"/>
  <c r="T86" i="1"/>
  <c r="U86" i="1" s="1"/>
  <c r="O86" i="1"/>
  <c r="V86" i="1" s="1"/>
  <c r="K86" i="1"/>
  <c r="P86" i="1" s="1"/>
  <c r="T85" i="1"/>
  <c r="U85" i="1" s="1"/>
  <c r="O85" i="1"/>
  <c r="V85" i="1" s="1"/>
  <c r="K85" i="1"/>
  <c r="P85" i="1" s="1"/>
  <c r="T84" i="1"/>
  <c r="U84" i="1" s="1"/>
  <c r="O84" i="1"/>
  <c r="V84" i="1" s="1"/>
  <c r="K84" i="1"/>
  <c r="P84" i="1" s="1"/>
  <c r="T83" i="1"/>
  <c r="U83" i="1" s="1"/>
  <c r="X83" i="1" s="1"/>
  <c r="AB83" i="1" s="1"/>
  <c r="O83" i="1"/>
  <c r="V83" i="1" s="1"/>
  <c r="K83" i="1"/>
  <c r="P83" i="1" s="1"/>
  <c r="T82" i="1"/>
  <c r="U82" i="1" s="1"/>
  <c r="O82" i="1"/>
  <c r="V82" i="1" s="1"/>
  <c r="K82" i="1"/>
  <c r="P82" i="1" s="1"/>
  <c r="T81" i="1"/>
  <c r="U81" i="1" s="1"/>
  <c r="O81" i="1"/>
  <c r="V81" i="1" s="1"/>
  <c r="K81" i="1"/>
  <c r="P81" i="1" s="1"/>
  <c r="T80" i="1"/>
  <c r="U80" i="1" s="1"/>
  <c r="O80" i="1"/>
  <c r="V80" i="1" s="1"/>
  <c r="K80" i="1"/>
  <c r="P80" i="1" s="1"/>
  <c r="T79" i="1"/>
  <c r="U79" i="1" s="1"/>
  <c r="X79" i="1" s="1"/>
  <c r="AB79" i="1" s="1"/>
  <c r="O79" i="1"/>
  <c r="V79" i="1" s="1"/>
  <c r="K79" i="1"/>
  <c r="P79" i="1" s="1"/>
  <c r="T78" i="1"/>
  <c r="U78" i="1" s="1"/>
  <c r="O78" i="1"/>
  <c r="V78" i="1" s="1"/>
  <c r="K78" i="1"/>
  <c r="P78" i="1" s="1"/>
  <c r="T77" i="1"/>
  <c r="U77" i="1" s="1"/>
  <c r="O77" i="1"/>
  <c r="V77" i="1" s="1"/>
  <c r="K77" i="1"/>
  <c r="P77" i="1" s="1"/>
  <c r="T76" i="1"/>
  <c r="U76" i="1" s="1"/>
  <c r="O76" i="1"/>
  <c r="V76" i="1" s="1"/>
  <c r="K76" i="1"/>
  <c r="P76" i="1" s="1"/>
  <c r="T75" i="1"/>
  <c r="U75" i="1" s="1"/>
  <c r="X75" i="1" s="1"/>
  <c r="AB75" i="1" s="1"/>
  <c r="O75" i="1"/>
  <c r="V75" i="1" s="1"/>
  <c r="K75" i="1"/>
  <c r="P75" i="1" s="1"/>
  <c r="T74" i="1"/>
  <c r="U74" i="1" s="1"/>
  <c r="O74" i="1"/>
  <c r="V74" i="1" s="1"/>
  <c r="K74" i="1"/>
  <c r="P74" i="1" s="1"/>
  <c r="T73" i="1"/>
  <c r="U73" i="1" s="1"/>
  <c r="O73" i="1"/>
  <c r="V73" i="1" s="1"/>
  <c r="K73" i="1"/>
  <c r="P73" i="1" s="1"/>
  <c r="U72" i="1"/>
  <c r="X72" i="1" s="1"/>
  <c r="T72" i="1"/>
  <c r="P72" i="1"/>
  <c r="P71" i="1" s="1"/>
  <c r="K72" i="1"/>
  <c r="O72" i="1" s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A71" i="1"/>
  <c r="Z71" i="1"/>
  <c r="Y71" i="1"/>
  <c r="W71" i="1"/>
  <c r="S71" i="1"/>
  <c r="R71" i="1"/>
  <c r="Q71" i="1"/>
  <c r="T71" i="1" s="1"/>
  <c r="N71" i="1"/>
  <c r="M71" i="1"/>
  <c r="L71" i="1"/>
  <c r="K71" i="1"/>
  <c r="O71" i="1" s="1"/>
  <c r="J71" i="1"/>
  <c r="I71" i="1"/>
  <c r="H71" i="1"/>
  <c r="U70" i="1"/>
  <c r="X70" i="1" s="1"/>
  <c r="AB70" i="1" s="1"/>
  <c r="T70" i="1"/>
  <c r="K70" i="1"/>
  <c r="T69" i="1"/>
  <c r="U69" i="1" s="1"/>
  <c r="X69" i="1" s="1"/>
  <c r="AB69" i="1" s="1"/>
  <c r="O69" i="1"/>
  <c r="K69" i="1"/>
  <c r="I69" i="1"/>
  <c r="I53" i="1" s="1"/>
  <c r="AB68" i="1"/>
  <c r="U68" i="1"/>
  <c r="T68" i="1"/>
  <c r="P68" i="1"/>
  <c r="K68" i="1"/>
  <c r="O68" i="1" s="1"/>
  <c r="X67" i="1"/>
  <c r="AB67" i="1" s="1"/>
  <c r="T67" i="1"/>
  <c r="U67" i="1" s="1"/>
  <c r="P67" i="1"/>
  <c r="O67" i="1"/>
  <c r="K67" i="1"/>
  <c r="J67" i="1"/>
  <c r="T66" i="1"/>
  <c r="U66" i="1" s="1"/>
  <c r="X66" i="1" s="1"/>
  <c r="AB66" i="1" s="1"/>
  <c r="P66" i="1"/>
  <c r="O66" i="1"/>
  <c r="K66" i="1"/>
  <c r="J66" i="1"/>
  <c r="U65" i="1"/>
  <c r="T65" i="1"/>
  <c r="P65" i="1"/>
  <c r="K65" i="1"/>
  <c r="O65" i="1" s="1"/>
  <c r="V65" i="1" s="1"/>
  <c r="X65" i="1" s="1"/>
  <c r="AB65" i="1" s="1"/>
  <c r="T64" i="1"/>
  <c r="U64" i="1" s="1"/>
  <c r="X64" i="1" s="1"/>
  <c r="AB64" i="1" s="1"/>
  <c r="P64" i="1"/>
  <c r="O64" i="1"/>
  <c r="K64" i="1"/>
  <c r="U63" i="1"/>
  <c r="X63" i="1" s="1"/>
  <c r="AB63" i="1" s="1"/>
  <c r="T63" i="1"/>
  <c r="K63" i="1"/>
  <c r="T62" i="1"/>
  <c r="U62" i="1" s="1"/>
  <c r="X62" i="1" s="1"/>
  <c r="AB62" i="1" s="1"/>
  <c r="O62" i="1"/>
  <c r="K62" i="1"/>
  <c r="P62" i="1" s="1"/>
  <c r="U61" i="1"/>
  <c r="X61" i="1" s="1"/>
  <c r="AB61" i="1" s="1"/>
  <c r="T61" i="1"/>
  <c r="P61" i="1"/>
  <c r="K61" i="1"/>
  <c r="O61" i="1" s="1"/>
  <c r="T60" i="1"/>
  <c r="P60" i="1"/>
  <c r="O60" i="1"/>
  <c r="K60" i="1"/>
  <c r="U59" i="1"/>
  <c r="X59" i="1" s="1"/>
  <c r="AB59" i="1" s="1"/>
  <c r="T59" i="1"/>
  <c r="K59" i="1"/>
  <c r="J59" i="1"/>
  <c r="U58" i="1"/>
  <c r="X58" i="1" s="1"/>
  <c r="AB58" i="1" s="1"/>
  <c r="T58" i="1"/>
  <c r="K58" i="1"/>
  <c r="U57" i="1"/>
  <c r="T57" i="1"/>
  <c r="K57" i="1"/>
  <c r="U56" i="1"/>
  <c r="T56" i="1"/>
  <c r="K56" i="1"/>
  <c r="U55" i="1"/>
  <c r="T55" i="1"/>
  <c r="K55" i="1"/>
  <c r="U54" i="1"/>
  <c r="T54" i="1"/>
  <c r="K54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A53" i="1"/>
  <c r="Z53" i="1"/>
  <c r="Y53" i="1"/>
  <c r="W53" i="1"/>
  <c r="S53" i="1"/>
  <c r="R53" i="1"/>
  <c r="Q53" i="1"/>
  <c r="N53" i="1"/>
  <c r="M53" i="1"/>
  <c r="L53" i="1"/>
  <c r="K53" i="1"/>
  <c r="O53" i="1" s="1"/>
  <c r="J53" i="1"/>
  <c r="H53" i="1"/>
  <c r="AB52" i="1"/>
  <c r="T52" i="1"/>
  <c r="U52" i="1" s="1"/>
  <c r="O52" i="1"/>
  <c r="AB51" i="1"/>
  <c r="T51" i="1"/>
  <c r="U51" i="1" s="1"/>
  <c r="O51" i="1"/>
  <c r="U50" i="1"/>
  <c r="X50" i="1" s="1"/>
  <c r="AB50" i="1" s="1"/>
  <c r="T50" i="1"/>
  <c r="P50" i="1"/>
  <c r="K50" i="1"/>
  <c r="O50" i="1" s="1"/>
  <c r="T49" i="1"/>
  <c r="U49" i="1" s="1"/>
  <c r="X49" i="1" s="1"/>
  <c r="AB49" i="1" s="1"/>
  <c r="O49" i="1"/>
  <c r="K49" i="1"/>
  <c r="P49" i="1" s="1"/>
  <c r="U48" i="1"/>
  <c r="X48" i="1" s="1"/>
  <c r="AB48" i="1" s="1"/>
  <c r="T48" i="1"/>
  <c r="K48" i="1"/>
  <c r="O48" i="1" s="1"/>
  <c r="X47" i="1"/>
  <c r="AB47" i="1" s="1"/>
  <c r="T47" i="1"/>
  <c r="U47" i="1" s="1"/>
  <c r="P47" i="1"/>
  <c r="O47" i="1"/>
  <c r="K47" i="1"/>
  <c r="AB46" i="1"/>
  <c r="U46" i="1"/>
  <c r="X46" i="1" s="1"/>
  <c r="T46" i="1"/>
  <c r="P46" i="1"/>
  <c r="K46" i="1"/>
  <c r="O46" i="1" s="1"/>
  <c r="U45" i="1"/>
  <c r="X45" i="1" s="1"/>
  <c r="AB45" i="1" s="1"/>
  <c r="T45" i="1"/>
  <c r="P45" i="1"/>
  <c r="K45" i="1"/>
  <c r="O45" i="1" s="1"/>
  <c r="V45" i="1" s="1"/>
  <c r="T44" i="1"/>
  <c r="U44" i="1" s="1"/>
  <c r="X44" i="1" s="1"/>
  <c r="AB44" i="1" s="1"/>
  <c r="O44" i="1"/>
  <c r="K44" i="1"/>
  <c r="P44" i="1" s="1"/>
  <c r="AB43" i="1"/>
  <c r="U43" i="1"/>
  <c r="T43" i="1"/>
  <c r="O43" i="1"/>
  <c r="V43" i="1" s="1"/>
  <c r="K43" i="1"/>
  <c r="AB42" i="1"/>
  <c r="U42" i="1"/>
  <c r="X42" i="1" s="1"/>
  <c r="T42" i="1"/>
  <c r="K42" i="1"/>
  <c r="O42" i="1" s="1"/>
  <c r="T41" i="1"/>
  <c r="U41" i="1" s="1"/>
  <c r="O41" i="1"/>
  <c r="K41" i="1"/>
  <c r="P41" i="1" s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A40" i="1"/>
  <c r="Z40" i="1"/>
  <c r="Y40" i="1"/>
  <c r="W40" i="1"/>
  <c r="V40" i="1"/>
  <c r="T40" i="1"/>
  <c r="S40" i="1"/>
  <c r="R40" i="1"/>
  <c r="Q40" i="1"/>
  <c r="N40" i="1"/>
  <c r="M40" i="1"/>
  <c r="L40" i="1"/>
  <c r="J40" i="1"/>
  <c r="I40" i="1"/>
  <c r="H40" i="1"/>
  <c r="T39" i="1"/>
  <c r="U39" i="1" s="1"/>
  <c r="X39" i="1" s="1"/>
  <c r="AB39" i="1" s="1"/>
  <c r="K39" i="1"/>
  <c r="P39" i="1" s="1"/>
  <c r="T38" i="1"/>
  <c r="U38" i="1" s="1"/>
  <c r="X38" i="1" s="1"/>
  <c r="AB38" i="1" s="1"/>
  <c r="P38" i="1"/>
  <c r="O38" i="1"/>
  <c r="K38" i="1"/>
  <c r="X37" i="1"/>
  <c r="AB37" i="1" s="1"/>
  <c r="U37" i="1"/>
  <c r="T37" i="1"/>
  <c r="P37" i="1"/>
  <c r="O37" i="1"/>
  <c r="K37" i="1"/>
  <c r="U36" i="1"/>
  <c r="X36" i="1" s="1"/>
  <c r="AB36" i="1" s="1"/>
  <c r="T36" i="1"/>
  <c r="K36" i="1"/>
  <c r="O36" i="1" s="1"/>
  <c r="T35" i="1"/>
  <c r="U35" i="1" s="1"/>
  <c r="X35" i="1" s="1"/>
  <c r="AB35" i="1" s="1"/>
  <c r="K35" i="1"/>
  <c r="P35" i="1" s="1"/>
  <c r="T34" i="1"/>
  <c r="U34" i="1" s="1"/>
  <c r="P34" i="1"/>
  <c r="O34" i="1"/>
  <c r="K34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A33" i="1"/>
  <c r="Z33" i="1"/>
  <c r="Y33" i="1"/>
  <c r="W33" i="1"/>
  <c r="V33" i="1"/>
  <c r="S33" i="1"/>
  <c r="R33" i="1"/>
  <c r="Q33" i="1"/>
  <c r="T33" i="1" s="1"/>
  <c r="N33" i="1"/>
  <c r="M33" i="1"/>
  <c r="L33" i="1"/>
  <c r="J33" i="1"/>
  <c r="I33" i="1"/>
  <c r="H33" i="1"/>
  <c r="U32" i="1"/>
  <c r="X32" i="1" s="1"/>
  <c r="AB32" i="1" s="1"/>
  <c r="T32" i="1"/>
  <c r="K32" i="1"/>
  <c r="O32" i="1" s="1"/>
  <c r="T31" i="1"/>
  <c r="U31" i="1" s="1"/>
  <c r="X31" i="1" s="1"/>
  <c r="AB31" i="1" s="1"/>
  <c r="K31" i="1"/>
  <c r="P31" i="1" s="1"/>
  <c r="T30" i="1"/>
  <c r="U30" i="1" s="1"/>
  <c r="X30" i="1" s="1"/>
  <c r="AB30" i="1" s="1"/>
  <c r="P30" i="1"/>
  <c r="O30" i="1"/>
  <c r="K30" i="1"/>
  <c r="I30" i="1"/>
  <c r="T29" i="1"/>
  <c r="U29" i="1" s="1"/>
  <c r="X29" i="1" s="1"/>
  <c r="AB29" i="1" s="1"/>
  <c r="P29" i="1"/>
  <c r="O29" i="1"/>
  <c r="K29" i="1"/>
  <c r="X28" i="1"/>
  <c r="AB28" i="1" s="1"/>
  <c r="U28" i="1"/>
  <c r="T28" i="1"/>
  <c r="P28" i="1"/>
  <c r="O28" i="1"/>
  <c r="K28" i="1"/>
  <c r="J28" i="1"/>
  <c r="X27" i="1"/>
  <c r="AB27" i="1" s="1"/>
  <c r="U27" i="1"/>
  <c r="T27" i="1"/>
  <c r="P27" i="1"/>
  <c r="O27" i="1"/>
  <c r="K27" i="1"/>
  <c r="U26" i="1"/>
  <c r="T26" i="1"/>
  <c r="P26" i="1"/>
  <c r="O26" i="1"/>
  <c r="V26" i="1" s="1"/>
  <c r="X26" i="1" s="1"/>
  <c r="AB26" i="1" s="1"/>
  <c r="K26" i="1"/>
  <c r="U25" i="1"/>
  <c r="X25" i="1" s="1"/>
  <c r="AB25" i="1" s="1"/>
  <c r="T25" i="1"/>
  <c r="K25" i="1"/>
  <c r="O25" i="1" s="1"/>
  <c r="T24" i="1"/>
  <c r="U24" i="1" s="1"/>
  <c r="X24" i="1" s="1"/>
  <c r="AB24" i="1" s="1"/>
  <c r="K24" i="1"/>
  <c r="P24" i="1" s="1"/>
  <c r="T23" i="1"/>
  <c r="U23" i="1" s="1"/>
  <c r="K23" i="1"/>
  <c r="P23" i="1" s="1"/>
  <c r="T22" i="1"/>
  <c r="T21" i="1" s="1"/>
  <c r="P22" i="1"/>
  <c r="O22" i="1"/>
  <c r="K22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A21" i="1"/>
  <c r="Z21" i="1"/>
  <c r="Y21" i="1"/>
  <c r="W21" i="1"/>
  <c r="S21" i="1"/>
  <c r="R21" i="1"/>
  <c r="Q21" i="1"/>
  <c r="N21" i="1"/>
  <c r="M21" i="1"/>
  <c r="L21" i="1"/>
  <c r="J21" i="1"/>
  <c r="I21" i="1"/>
  <c r="H21" i="1"/>
  <c r="U20" i="1"/>
  <c r="X20" i="1" s="1"/>
  <c r="AB20" i="1" s="1"/>
  <c r="T20" i="1"/>
  <c r="K20" i="1"/>
  <c r="J20" i="1"/>
  <c r="U19" i="1"/>
  <c r="X19" i="1" s="1"/>
  <c r="AB19" i="1" s="1"/>
  <c r="T19" i="1"/>
  <c r="K19" i="1"/>
  <c r="U18" i="1"/>
  <c r="T18" i="1"/>
  <c r="K18" i="1"/>
  <c r="T17" i="1"/>
  <c r="U17" i="1" s="1"/>
  <c r="X17" i="1" s="1"/>
  <c r="AB17" i="1" s="1"/>
  <c r="K17" i="1"/>
  <c r="P17" i="1" s="1"/>
  <c r="T16" i="1"/>
  <c r="K16" i="1"/>
  <c r="P16" i="1" s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A15" i="1"/>
  <c r="Z15" i="1"/>
  <c r="Y15" i="1"/>
  <c r="W15" i="1"/>
  <c r="S15" i="1"/>
  <c r="R15" i="1"/>
  <c r="Q15" i="1"/>
  <c r="N15" i="1"/>
  <c r="M15" i="1"/>
  <c r="L15" i="1"/>
  <c r="J15" i="1"/>
  <c r="I15" i="1"/>
  <c r="H15" i="1"/>
  <c r="X14" i="1"/>
  <c r="AB14" i="1" s="1"/>
  <c r="U14" i="1"/>
  <c r="T14" i="1"/>
  <c r="P14" i="1"/>
  <c r="O14" i="1"/>
  <c r="K14" i="1"/>
  <c r="U13" i="1"/>
  <c r="T13" i="1"/>
  <c r="P13" i="1"/>
  <c r="O13" i="1"/>
  <c r="V13" i="1" s="1"/>
  <c r="X13" i="1" s="1"/>
  <c r="AB13" i="1" s="1"/>
  <c r="K13" i="1"/>
  <c r="U12" i="1"/>
  <c r="X12" i="1" s="1"/>
  <c r="AB12" i="1" s="1"/>
  <c r="T12" i="1"/>
  <c r="K12" i="1"/>
  <c r="T11" i="1"/>
  <c r="U11" i="1" s="1"/>
  <c r="X11" i="1" s="1"/>
  <c r="AB11" i="1" s="1"/>
  <c r="K11" i="1"/>
  <c r="P11" i="1" s="1"/>
  <c r="T10" i="1"/>
  <c r="U10" i="1" s="1"/>
  <c r="X10" i="1" s="1"/>
  <c r="AB10" i="1" s="1"/>
  <c r="P10" i="1"/>
  <c r="O10" i="1"/>
  <c r="K10" i="1"/>
  <c r="X9" i="1"/>
  <c r="AB9" i="1" s="1"/>
  <c r="U9" i="1"/>
  <c r="T9" i="1"/>
  <c r="P9" i="1"/>
  <c r="O9" i="1"/>
  <c r="K9" i="1"/>
  <c r="U8" i="1"/>
  <c r="T8" i="1"/>
  <c r="P8" i="1"/>
  <c r="O8" i="1"/>
  <c r="V8" i="1" s="1"/>
  <c r="X8" i="1" s="1"/>
  <c r="AB8" i="1" s="1"/>
  <c r="K8" i="1"/>
  <c r="U7" i="1"/>
  <c r="T7" i="1"/>
  <c r="P7" i="1"/>
  <c r="O7" i="1"/>
  <c r="V7" i="1" s="1"/>
  <c r="K7" i="1"/>
  <c r="X6" i="1"/>
  <c r="AB6" i="1" s="1"/>
  <c r="U6" i="1"/>
  <c r="T6" i="1"/>
  <c r="K6" i="1"/>
  <c r="P6" i="1" s="1"/>
  <c r="T5" i="1"/>
  <c r="U5" i="1" s="1"/>
  <c r="K5" i="1"/>
  <c r="AB4" i="1"/>
  <c r="T4" i="1"/>
  <c r="U4" i="1" s="1"/>
  <c r="X4" i="1" s="1"/>
  <c r="P4" i="1"/>
  <c r="O4" i="1"/>
  <c r="K4" i="1"/>
  <c r="X3" i="1"/>
  <c r="AB3" i="1" s="1"/>
  <c r="U3" i="1"/>
  <c r="T3" i="1"/>
  <c r="P3" i="1"/>
  <c r="O3" i="1"/>
  <c r="K3" i="1"/>
  <c r="BN2" i="1"/>
  <c r="BM2" i="1"/>
  <c r="BL2" i="1"/>
  <c r="BL90" i="1" s="1"/>
  <c r="BK2" i="1"/>
  <c r="BK90" i="1" s="1"/>
  <c r="BJ2" i="1"/>
  <c r="BI2" i="1"/>
  <c r="BH2" i="1"/>
  <c r="BH90" i="1" s="1"/>
  <c r="BG2" i="1"/>
  <c r="BG90" i="1" s="1"/>
  <c r="BF2" i="1"/>
  <c r="BE2" i="1"/>
  <c r="BD2" i="1"/>
  <c r="BD90" i="1" s="1"/>
  <c r="BC2" i="1"/>
  <c r="BC90" i="1" s="1"/>
  <c r="BB2" i="1"/>
  <c r="BA2" i="1"/>
  <c r="AZ2" i="1"/>
  <c r="AZ90" i="1" s="1"/>
  <c r="AY2" i="1"/>
  <c r="AY90" i="1" s="1"/>
  <c r="AX2" i="1"/>
  <c r="AW2" i="1"/>
  <c r="AV2" i="1"/>
  <c r="AV90" i="1" s="1"/>
  <c r="AU2" i="1"/>
  <c r="AU90" i="1" s="1"/>
  <c r="AT2" i="1"/>
  <c r="AS2" i="1"/>
  <c r="AR2" i="1"/>
  <c r="AR90" i="1" s="1"/>
  <c r="AQ2" i="1"/>
  <c r="AQ90" i="1" s="1"/>
  <c r="AP2" i="1"/>
  <c r="AO2" i="1"/>
  <c r="AN2" i="1"/>
  <c r="AN90" i="1" s="1"/>
  <c r="AM2" i="1"/>
  <c r="AM90" i="1" s="1"/>
  <c r="AL2" i="1"/>
  <c r="AK2" i="1"/>
  <c r="AJ2" i="1"/>
  <c r="AJ90" i="1" s="1"/>
  <c r="AI2" i="1"/>
  <c r="AI90" i="1" s="1"/>
  <c r="AH2" i="1"/>
  <c r="AG2" i="1"/>
  <c r="AF2" i="1"/>
  <c r="AF90" i="1" s="1"/>
  <c r="AE2" i="1"/>
  <c r="AE90" i="1" s="1"/>
  <c r="AD2" i="1"/>
  <c r="AC2" i="1"/>
  <c r="AA2" i="1"/>
  <c r="AA90" i="1" s="1"/>
  <c r="Z2" i="1"/>
  <c r="Y2" i="1"/>
  <c r="W2" i="1"/>
  <c r="W90" i="1" s="1"/>
  <c r="S2" i="1"/>
  <c r="S90" i="1" s="1"/>
  <c r="R2" i="1"/>
  <c r="Q2" i="1"/>
  <c r="Q90" i="1" s="1"/>
  <c r="N2" i="1"/>
  <c r="M2" i="1"/>
  <c r="M90" i="1" s="1"/>
  <c r="M92" i="1" s="1"/>
  <c r="L2" i="1"/>
  <c r="L90" i="1" s="1"/>
  <c r="L92" i="1" s="1"/>
  <c r="J2" i="1"/>
  <c r="I2" i="1"/>
  <c r="I90" i="1" s="1"/>
  <c r="H2" i="1"/>
  <c r="H90" i="1" s="1"/>
  <c r="V2" i="1" l="1"/>
  <c r="X7" i="1"/>
  <c r="AB7" i="1" s="1"/>
  <c r="X5" i="1"/>
  <c r="U2" i="1"/>
  <c r="T2" i="1"/>
  <c r="Y90" i="1"/>
  <c r="AC90" i="1"/>
  <c r="AG90" i="1"/>
  <c r="AK90" i="1"/>
  <c r="AO90" i="1"/>
  <c r="AS90" i="1"/>
  <c r="AW90" i="1"/>
  <c r="BA90" i="1"/>
  <c r="BE90" i="1"/>
  <c r="BI90" i="1"/>
  <c r="BM90" i="1"/>
  <c r="O19" i="1"/>
  <c r="P19" i="1"/>
  <c r="O20" i="1"/>
  <c r="P20" i="1"/>
  <c r="U40" i="1"/>
  <c r="X41" i="1"/>
  <c r="P12" i="1"/>
  <c r="O12" i="1"/>
  <c r="U16" i="1"/>
  <c r="T15" i="1"/>
  <c r="O18" i="1"/>
  <c r="V18" i="1" s="1"/>
  <c r="X18" i="1" s="1"/>
  <c r="AB18" i="1" s="1"/>
  <c r="K15" i="1"/>
  <c r="O15" i="1" s="1"/>
  <c r="P18" i="1"/>
  <c r="P15" i="1" s="1"/>
  <c r="X23" i="1"/>
  <c r="AB23" i="1" s="1"/>
  <c r="P5" i="1"/>
  <c r="P2" i="1" s="1"/>
  <c r="O5" i="1"/>
  <c r="O6" i="1"/>
  <c r="K2" i="1"/>
  <c r="U33" i="1"/>
  <c r="X34" i="1"/>
  <c r="J90" i="1"/>
  <c r="N90" i="1"/>
  <c r="N92" i="1" s="1"/>
  <c r="R90" i="1"/>
  <c r="T90" i="1" s="1"/>
  <c r="U90" i="1" s="1"/>
  <c r="Z90" i="1"/>
  <c r="AD90" i="1"/>
  <c r="AH90" i="1"/>
  <c r="AL90" i="1"/>
  <c r="AP90" i="1"/>
  <c r="AT90" i="1"/>
  <c r="AX90" i="1"/>
  <c r="BB90" i="1"/>
  <c r="BF90" i="1"/>
  <c r="BJ90" i="1"/>
  <c r="BN90" i="1"/>
  <c r="O11" i="1"/>
  <c r="O16" i="1"/>
  <c r="V16" i="1" s="1"/>
  <c r="O17" i="1"/>
  <c r="K21" i="1"/>
  <c r="O21" i="1" s="1"/>
  <c r="U22" i="1"/>
  <c r="O23" i="1"/>
  <c r="V23" i="1" s="1"/>
  <c r="V21" i="1" s="1"/>
  <c r="O24" i="1"/>
  <c r="P25" i="1"/>
  <c r="P21" i="1" s="1"/>
  <c r="O31" i="1"/>
  <c r="P32" i="1"/>
  <c r="K33" i="1"/>
  <c r="O33" i="1" s="1"/>
  <c r="O35" i="1"/>
  <c r="P36" i="1"/>
  <c r="P33" i="1" s="1"/>
  <c r="O39" i="1"/>
  <c r="P48" i="1"/>
  <c r="O55" i="1"/>
  <c r="V55" i="1" s="1"/>
  <c r="P55" i="1"/>
  <c r="P69" i="1"/>
  <c r="U71" i="1"/>
  <c r="X73" i="1"/>
  <c r="AB73" i="1" s="1"/>
  <c r="X77" i="1"/>
  <c r="AB77" i="1" s="1"/>
  <c r="X81" i="1"/>
  <c r="AB81" i="1" s="1"/>
  <c r="X85" i="1"/>
  <c r="AB85" i="1" s="1"/>
  <c r="K40" i="1"/>
  <c r="O40" i="1" s="1"/>
  <c r="O54" i="1"/>
  <c r="V54" i="1" s="1"/>
  <c r="P54" i="1"/>
  <c r="P53" i="1" s="1"/>
  <c r="O58" i="1"/>
  <c r="P58" i="1"/>
  <c r="O59" i="1"/>
  <c r="P59" i="1"/>
  <c r="O63" i="1"/>
  <c r="P63" i="1"/>
  <c r="AB72" i="1"/>
  <c r="X76" i="1"/>
  <c r="AB76" i="1" s="1"/>
  <c r="X80" i="1"/>
  <c r="AB80" i="1" s="1"/>
  <c r="X84" i="1"/>
  <c r="AB84" i="1" s="1"/>
  <c r="X55" i="1"/>
  <c r="AB55" i="1" s="1"/>
  <c r="O57" i="1"/>
  <c r="V57" i="1" s="1"/>
  <c r="X57" i="1" s="1"/>
  <c r="AB57" i="1" s="1"/>
  <c r="P57" i="1"/>
  <c r="P42" i="1"/>
  <c r="P40" i="1" s="1"/>
  <c r="X54" i="1"/>
  <c r="O56" i="1"/>
  <c r="V56" i="1" s="1"/>
  <c r="X56" i="1" s="1"/>
  <c r="AB56" i="1" s="1"/>
  <c r="P56" i="1"/>
  <c r="T53" i="1"/>
  <c r="O70" i="1"/>
  <c r="P70" i="1"/>
  <c r="V71" i="1"/>
  <c r="X74" i="1"/>
  <c r="AB74" i="1" s="1"/>
  <c r="X78" i="1"/>
  <c r="AB78" i="1" s="1"/>
  <c r="X82" i="1"/>
  <c r="AB82" i="1" s="1"/>
  <c r="X86" i="1"/>
  <c r="AB86" i="1" s="1"/>
  <c r="X87" i="1"/>
  <c r="AB87" i="1" s="1"/>
  <c r="AB88" i="1"/>
  <c r="U87" i="1"/>
  <c r="P88" i="1"/>
  <c r="P87" i="1" s="1"/>
  <c r="P89" i="1"/>
  <c r="U60" i="1"/>
  <c r="O91" i="1"/>
  <c r="P90" i="1" l="1"/>
  <c r="X22" i="1"/>
  <c r="U21" i="1"/>
  <c r="AB54" i="1"/>
  <c r="X71" i="1"/>
  <c r="AB71" i="1" s="1"/>
  <c r="AB41" i="1"/>
  <c r="X40" i="1"/>
  <c r="AB40" i="1" s="1"/>
  <c r="K90" i="1"/>
  <c r="X16" i="1"/>
  <c r="U15" i="1"/>
  <c r="AB5" i="1"/>
  <c r="AB2" i="1" s="1"/>
  <c r="X2" i="1"/>
  <c r="V53" i="1"/>
  <c r="V90" i="1" s="1"/>
  <c r="V15" i="1"/>
  <c r="AB34" i="1"/>
  <c r="X33" i="1"/>
  <c r="AB33" i="1" s="1"/>
  <c r="U53" i="1"/>
  <c r="X60" i="1"/>
  <c r="AB60" i="1" s="1"/>
  <c r="O2" i="1"/>
  <c r="X53" i="1" l="1"/>
  <c r="AB53" i="1" s="1"/>
  <c r="X15" i="1"/>
  <c r="AB15" i="1" s="1"/>
  <c r="AB16" i="1"/>
  <c r="O90" i="1"/>
  <c r="K92" i="1"/>
  <c r="O92" i="1" s="1"/>
  <c r="X21" i="1"/>
  <c r="AB21" i="1" s="1"/>
  <c r="AB22" i="1"/>
  <c r="X90" i="1" l="1"/>
  <c r="AB90" i="1" s="1"/>
</calcChain>
</file>

<file path=xl/comments1.xml><?xml version="1.0" encoding="utf-8"?>
<comments xmlns="http://schemas.openxmlformats.org/spreadsheetml/2006/main">
  <authors>
    <author>s</author>
    <author>Author</author>
  </authors>
  <commentList>
    <comment ref="AA5" authorId="0">
      <text>
        <r>
          <rPr>
            <b/>
            <sz val="9"/>
            <color indexed="81"/>
            <rFont val="Tahoma"/>
            <family val="2"/>
          </rPr>
          <t>s:</t>
        </r>
        <r>
          <rPr>
            <sz val="9"/>
            <color indexed="81"/>
            <rFont val="Tahoma"/>
            <family val="2"/>
          </rPr>
          <t xml:space="preserve">
Rent </t>
        </r>
      </text>
    </comment>
    <comment ref="E6" authorId="1">
      <text>
        <r>
          <rPr>
            <b/>
            <sz val="9"/>
            <color indexed="81"/>
            <rFont val="Tahoma"/>
            <family val="2"/>
          </rPr>
          <t xml:space="preserve">510250010140861
</t>
        </r>
      </text>
    </comment>
    <comment ref="D7" authorId="1">
      <text>
        <r>
          <rPr>
            <b/>
            <sz val="9"/>
            <color indexed="81"/>
            <rFont val="Tahoma"/>
            <family val="2"/>
          </rPr>
          <t xml:space="preserve">Sonal Bharwad 
Mother Account </t>
        </r>
      </text>
    </comment>
    <comment ref="D18" authorId="1">
      <text>
        <r>
          <rPr>
            <b/>
            <sz val="9"/>
            <color indexed="81"/>
            <rFont val="Tahoma"/>
            <family val="2"/>
          </rPr>
          <t xml:space="preserve">Karishma Mishra
</t>
        </r>
      </text>
    </comment>
    <comment ref="AA42" authorId="0">
      <text>
        <r>
          <rPr>
            <b/>
            <sz val="9"/>
            <color indexed="81"/>
            <rFont val="Tahoma"/>
            <family val="2"/>
          </rPr>
          <t>s:</t>
        </r>
        <r>
          <rPr>
            <sz val="9"/>
            <color indexed="81"/>
            <rFont val="Tahoma"/>
            <family val="2"/>
          </rPr>
          <t xml:space="preserve">
Advance Salary</t>
        </r>
      </text>
    </comment>
    <comment ref="O43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Joinee</t>
        </r>
      </text>
    </comment>
    <comment ref="O45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New Joinee</t>
        </r>
      </text>
    </comment>
    <comment ref="U55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 is Eligible for Basic Salary Rs. 6000</t>
        </r>
      </text>
    </comment>
    <comment ref="U56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 is eligible for Basic Ssalary Rs. 6000</t>
        </r>
      </text>
    </comment>
    <comment ref="A57" authorId="0">
      <text>
        <r>
          <rPr>
            <b/>
            <sz val="9"/>
            <color indexed="81"/>
            <rFont val="Tahoma"/>
            <family val="2"/>
          </rPr>
          <t>s:</t>
        </r>
        <r>
          <rPr>
            <sz val="9"/>
            <color indexed="81"/>
            <rFont val="Tahoma"/>
            <family val="2"/>
          </rPr>
          <t xml:space="preserve">
Last Month Salary Pending</t>
        </r>
      </text>
    </comment>
    <comment ref="U57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 will receive salary as a Intern Rs. 6000 + Last Month Salary Rs. 1083 Pending</t>
        </r>
      </text>
    </comment>
    <comment ref="AB57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 will receive salary as a Intern Rs. 6000 + Last Month Salary Rs. 1083 Pending</t>
        </r>
      </text>
    </comment>
    <comment ref="U58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She is eligible only for Basic Salary Rs. 6000</t>
        </r>
      </text>
    </comment>
    <comment ref="AA76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110 Advance of Metro Bill and 1360 Metro Pad Machine Coins.</t>
        </r>
      </text>
    </comment>
    <comment ref="T78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Banner 2 Days Deduct.</t>
        </r>
      </text>
    </comment>
    <comment ref="AA78" authorId="0">
      <text>
        <r>
          <rPr>
            <b/>
            <sz val="9"/>
            <color indexed="81"/>
            <rFont val="Tahoma"/>
            <family val="2"/>
          </rPr>
          <t>s:</t>
        </r>
        <r>
          <rPr>
            <sz val="9"/>
            <color indexed="81"/>
            <rFont val="Tahoma"/>
            <family val="2"/>
          </rPr>
          <t xml:space="preserve">
Rent for the month of Aug, 2026</t>
        </r>
      </text>
    </comment>
    <comment ref="T79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Banner 2 Days Deduct.</t>
        </r>
      </text>
    </comment>
    <comment ref="A80" authorId="0">
      <text>
        <r>
          <rPr>
            <b/>
            <sz val="9"/>
            <color indexed="81"/>
            <rFont val="Tahoma"/>
            <family val="2"/>
          </rPr>
          <t>s:</t>
        </r>
        <r>
          <rPr>
            <sz val="9"/>
            <color indexed="81"/>
            <rFont val="Tahoma"/>
            <family val="2"/>
          </rPr>
          <t xml:space="preserve">
Last Month Salary Pending</t>
        </r>
      </text>
    </comment>
    <comment ref="U80" authorId="0">
      <text>
        <r>
          <rPr>
            <b/>
            <sz val="9"/>
            <color indexed="81"/>
            <rFont val="Tahoma"/>
            <family val="2"/>
          </rPr>
          <t>s:</t>
        </r>
        <r>
          <rPr>
            <sz val="9"/>
            <color indexed="81"/>
            <rFont val="Tahoma"/>
            <family val="2"/>
          </rPr>
          <t xml:space="preserve">
Last Month Salary Pending Rs. 400</t>
        </r>
      </text>
    </comment>
    <comment ref="X80" authorId="0">
      <text>
        <r>
          <rPr>
            <b/>
            <sz val="9"/>
            <color indexed="81"/>
            <rFont val="Tahoma"/>
            <family val="2"/>
          </rPr>
          <t>s:</t>
        </r>
        <r>
          <rPr>
            <sz val="9"/>
            <color indexed="81"/>
            <rFont val="Tahoma"/>
            <family val="2"/>
          </rPr>
          <t xml:space="preserve">
Last Month Salary Pending Rs. 400</t>
        </r>
      </text>
    </comment>
    <comment ref="B88" authorId="1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Salary must be done from Ashray as informed by Sir.</t>
        </r>
      </text>
    </comment>
  </commentList>
</comments>
</file>

<file path=xl/sharedStrings.xml><?xml version="1.0" encoding="utf-8"?>
<sst xmlns="http://schemas.openxmlformats.org/spreadsheetml/2006/main" count="446" uniqueCount="249">
  <si>
    <t>Agent Name</t>
  </si>
  <si>
    <t>Account Holder Name</t>
  </si>
  <si>
    <t>Account Holder Relation</t>
  </si>
  <si>
    <t xml:space="preserve">Bank Name </t>
  </si>
  <si>
    <t>Bank Account Number</t>
  </si>
  <si>
    <t>STATION</t>
  </si>
  <si>
    <t>Date of Joining</t>
  </si>
  <si>
    <t>Salary</t>
  </si>
  <si>
    <t>Old Target</t>
  </si>
  <si>
    <t>New Target</t>
  </si>
  <si>
    <t>Total BSCT + AFLF + Mann Achieved</t>
  </si>
  <si>
    <t>BSCT Achieved</t>
  </si>
  <si>
    <t>AFLF Achieved</t>
  </si>
  <si>
    <t>Mann Achieved</t>
  </si>
  <si>
    <t>Balance</t>
  </si>
  <si>
    <t>Achieved %</t>
  </si>
  <si>
    <t xml:space="preserve">July Present Days </t>
  </si>
  <si>
    <t>Training and Sunday Deduction</t>
  </si>
  <si>
    <t>Sunday Need To Add</t>
  </si>
  <si>
    <t>Net July Present Days</t>
  </si>
  <si>
    <t>July Salary</t>
  </si>
  <si>
    <t>Monthly 10% Incentive</t>
  </si>
  <si>
    <t>Aaj Ka Incentive (Daily 50% for PC)</t>
  </si>
  <si>
    <t>Gross Payable Salary</t>
  </si>
  <si>
    <t>OT/Appreciation/ Extra Incentive</t>
  </si>
  <si>
    <t>Any Pending Salary Paid for Previous Month</t>
  </si>
  <si>
    <t>Advance need to be deducted in July, 2026</t>
  </si>
  <si>
    <t>Net Payable Salary</t>
  </si>
  <si>
    <t>Payment from BSCT</t>
  </si>
  <si>
    <t>bsct OTP</t>
  </si>
  <si>
    <t>Payment from AFLF</t>
  </si>
  <si>
    <t>AFLF OTP</t>
  </si>
  <si>
    <t>Payment from MANN</t>
  </si>
  <si>
    <t>MANN OTP</t>
  </si>
  <si>
    <t>Remarks</t>
  </si>
  <si>
    <t>UFS 1</t>
  </si>
  <si>
    <t>Kanchan Gupta</t>
  </si>
  <si>
    <t>Self</t>
  </si>
  <si>
    <t xml:space="preserve">Union Bank </t>
  </si>
  <si>
    <t>DH-10 / ND-6</t>
  </si>
  <si>
    <t>Laxmi Mistry</t>
  </si>
  <si>
    <t>DH-6</t>
  </si>
  <si>
    <t>Mahima Redkar</t>
  </si>
  <si>
    <t>Yedanki Redkar</t>
  </si>
  <si>
    <t>Sister</t>
  </si>
  <si>
    <t xml:space="preserve">Sindhudurg Bank </t>
  </si>
  <si>
    <t>ND-1 &amp; ND-4 &amp; ND-6</t>
  </si>
  <si>
    <t>Mansika Choudhary</t>
  </si>
  <si>
    <t>Manshika Choudhary</t>
  </si>
  <si>
    <t>Karnataka Bank</t>
  </si>
  <si>
    <t>DH-10</t>
  </si>
  <si>
    <t>Mittal Bharwad</t>
  </si>
  <si>
    <t>Sonal Ben Bharwad</t>
  </si>
  <si>
    <t>Mother</t>
  </si>
  <si>
    <t>DH-11</t>
  </si>
  <si>
    <t>Neha Kharwar</t>
  </si>
  <si>
    <t>ND-2</t>
  </si>
  <si>
    <t>Pooja Pal</t>
  </si>
  <si>
    <t>Satyendra Pal</t>
  </si>
  <si>
    <t>Husband</t>
  </si>
  <si>
    <t>ND-3 &amp; ND-5</t>
  </si>
  <si>
    <t>Ravina Jain</t>
  </si>
  <si>
    <t>Shushila Jain</t>
  </si>
  <si>
    <t>ND-9</t>
  </si>
  <si>
    <t>Sakshi Singh</t>
  </si>
  <si>
    <t>Bank Of Baroda</t>
  </si>
  <si>
    <t>Shweeta Vishwakarma</t>
  </si>
  <si>
    <t>Sweta Vishvakarma</t>
  </si>
  <si>
    <t>DH-9</t>
  </si>
  <si>
    <t>Simran Shaikh</t>
  </si>
  <si>
    <t xml:space="preserve">Maharshtra Bank </t>
  </si>
  <si>
    <t>DH-2 &amp; ND-1</t>
  </si>
  <si>
    <t xml:space="preserve">Tehseen Idrisi </t>
  </si>
  <si>
    <t>Tahseen Idrisi</t>
  </si>
  <si>
    <t>ND-8</t>
  </si>
  <si>
    <t>UFS 2</t>
  </si>
  <si>
    <t>Chhaya Kumari</t>
  </si>
  <si>
    <t>Bank of baroda</t>
  </si>
  <si>
    <t>Deepa Gupta</t>
  </si>
  <si>
    <t>Bank Of India</t>
  </si>
  <si>
    <t>ND-7 &amp; ND-8</t>
  </si>
  <si>
    <t>Priya Tiwari</t>
  </si>
  <si>
    <t>Karishma Tiwari</t>
  </si>
  <si>
    <t>Axis Bank</t>
  </si>
  <si>
    <t>ND-2 &amp; ND-3</t>
  </si>
  <si>
    <t>Riddhi Patel</t>
  </si>
  <si>
    <t>Kotak Bank</t>
  </si>
  <si>
    <t>DH-5</t>
  </si>
  <si>
    <t>Siddhi Gunjal</t>
  </si>
  <si>
    <t>Siddhi Tanaji Gunjal</t>
  </si>
  <si>
    <t>Bank of Maharashtra</t>
  </si>
  <si>
    <t>Fresh</t>
  </si>
  <si>
    <t>UFS 3</t>
  </si>
  <si>
    <t>Anjana Vyas</t>
  </si>
  <si>
    <t xml:space="preserve">Saraswat Bank </t>
  </si>
  <si>
    <t>NA</t>
  </si>
  <si>
    <t>Archana Parmar</t>
  </si>
  <si>
    <t>DH-7</t>
  </si>
  <si>
    <t>Deepali Gautam</t>
  </si>
  <si>
    <t>ND-4</t>
  </si>
  <si>
    <t>Mamta Shah</t>
  </si>
  <si>
    <t>Shah M.M</t>
  </si>
  <si>
    <t>Maya Jadhao</t>
  </si>
  <si>
    <t xml:space="preserve">DH-4 </t>
  </si>
  <si>
    <t>Megha Sutar</t>
  </si>
  <si>
    <t>Sbi</t>
  </si>
  <si>
    <t>DH-8</t>
  </si>
  <si>
    <t>Mrunal Pawar</t>
  </si>
  <si>
    <t>Mrunal Swapnil Pawar</t>
  </si>
  <si>
    <t>Kotak Mahindra Bank</t>
  </si>
  <si>
    <t xml:space="preserve">Fresh </t>
  </si>
  <si>
    <t>Priya Vishwakarma</t>
  </si>
  <si>
    <t>Priya Dinesh Vishwakarma</t>
  </si>
  <si>
    <t xml:space="preserve">SBI Bank </t>
  </si>
  <si>
    <t>DH-1</t>
  </si>
  <si>
    <t>Sadika Siddiqui</t>
  </si>
  <si>
    <t>Sadika Siddique</t>
  </si>
  <si>
    <t>DH-4 &amp; DH-12</t>
  </si>
  <si>
    <t xml:space="preserve">Sushma Ambokar </t>
  </si>
  <si>
    <t>Sushma Ambokar</t>
  </si>
  <si>
    <t>ND-5 &amp; DH-12</t>
  </si>
  <si>
    <t>Suvita Shrivatkar</t>
  </si>
  <si>
    <t>Bank of Baroda</t>
  </si>
  <si>
    <t>DH-2</t>
  </si>
  <si>
    <t>UFS 4</t>
  </si>
  <si>
    <t>Hiral Waghela</t>
  </si>
  <si>
    <t xml:space="preserve">Self </t>
  </si>
  <si>
    <t>SBI Bank</t>
  </si>
  <si>
    <t>M-2</t>
  </si>
  <si>
    <t>Kshitija Jadhav</t>
  </si>
  <si>
    <t>Kshitijha Jadhav</t>
  </si>
  <si>
    <t xml:space="preserve">Muskan Khan </t>
  </si>
  <si>
    <t>Muskan Khan</t>
  </si>
  <si>
    <t>DH-3</t>
  </si>
  <si>
    <t>Sangeeta Kanojiya</t>
  </si>
  <si>
    <t>Rammanohar Kanojiya</t>
  </si>
  <si>
    <t>Father</t>
  </si>
  <si>
    <t>Varsha Sakariya</t>
  </si>
  <si>
    <t>Varsha Tambe</t>
  </si>
  <si>
    <t>Abhyudaya Bank</t>
  </si>
  <si>
    <t>UFS 5</t>
  </si>
  <si>
    <t>Ankita Chavan</t>
  </si>
  <si>
    <t>Chavan Ankita Tushar</t>
  </si>
  <si>
    <t>Deepak Karkera</t>
  </si>
  <si>
    <t>SBI</t>
  </si>
  <si>
    <t>Jayshree Prajapati</t>
  </si>
  <si>
    <t>Ms. Jayshree Dayaram Prajapati</t>
  </si>
  <si>
    <t>Nazreen Zahur Baig</t>
  </si>
  <si>
    <t>Mrs. Baig Nilofar Zahur</t>
  </si>
  <si>
    <t xml:space="preserve">Mother </t>
  </si>
  <si>
    <t>Ravina Ambre</t>
  </si>
  <si>
    <t>Ravina .S. Ambre</t>
  </si>
  <si>
    <t>Reena Maurya Gyanchand</t>
  </si>
  <si>
    <t>Reena Gyanchandra Maurya</t>
  </si>
  <si>
    <t xml:space="preserve">Ruchira Mhatre </t>
  </si>
  <si>
    <t>Ruchira Harishchandra Mhatre</t>
  </si>
  <si>
    <t>Rutvi Gurav</t>
  </si>
  <si>
    <t>Gurav Rutvi Rakesh</t>
  </si>
  <si>
    <t>Saira Parbalkar</t>
  </si>
  <si>
    <t>Saira Irfan Parbalkar</t>
  </si>
  <si>
    <t>Sonali Wankhede Tayade</t>
  </si>
  <si>
    <t>Sonali Baburao Wankheded</t>
  </si>
  <si>
    <t>Suman Yadav</t>
  </si>
  <si>
    <t>Mr. Rajendra Kumar Jagdev Yadav</t>
  </si>
  <si>
    <t>Nikita Dangodra</t>
  </si>
  <si>
    <t>Nikita Jivrajbhai Dangodra</t>
  </si>
  <si>
    <t>Suspense</t>
  </si>
  <si>
    <t>Left Manisha Parmar - Admin</t>
  </si>
  <si>
    <t>Manisha Nathalal Parmar</t>
  </si>
  <si>
    <t>Left Harshita Purohit - Mktg.</t>
  </si>
  <si>
    <t>Harshita Shiv Shankar Purohit</t>
  </si>
  <si>
    <t>Left Khushboo Bind - Social Media</t>
  </si>
  <si>
    <t>Khushboo Bind</t>
  </si>
  <si>
    <t>Left Bhavna Yadav</t>
  </si>
  <si>
    <t>Ms. Bhavna Yadav</t>
  </si>
  <si>
    <t>*475602120006999</t>
  </si>
  <si>
    <t>Left Anuradha Karus</t>
  </si>
  <si>
    <t>Karus Anuradha Vasant</t>
  </si>
  <si>
    <t>Punjab &amp; Sind Bank</t>
  </si>
  <si>
    <t>Left Kausar Shaikh</t>
  </si>
  <si>
    <t>Left</t>
  </si>
  <si>
    <t>Yes Bank</t>
  </si>
  <si>
    <t>Left Nisha Tripathi</t>
  </si>
  <si>
    <t>Left Pratiksha Parulekar</t>
  </si>
  <si>
    <t>Left Pratiksha Waman Parulekar</t>
  </si>
  <si>
    <t>Left Sana Shaikh</t>
  </si>
  <si>
    <t>Left Bhumi Darji</t>
  </si>
  <si>
    <t>The Malad Sahakari Bank Ltd.</t>
  </si>
  <si>
    <t xml:space="preserve">    </t>
  </si>
  <si>
    <t xml:space="preserve">Left Rashmi Sahu - HR </t>
  </si>
  <si>
    <t>Rashmi Rajesh Kumar Sahu</t>
  </si>
  <si>
    <t>Left Shital Pawar</t>
  </si>
  <si>
    <t>Shital Sitaram Pawar</t>
  </si>
  <si>
    <t>090291400000932</t>
  </si>
  <si>
    <t>Left Yashashri Parab</t>
  </si>
  <si>
    <t>Left Yashashri Mangesh Parab</t>
  </si>
  <si>
    <t>Left Pooja Rathod</t>
  </si>
  <si>
    <t>Left Avni Ashar</t>
  </si>
  <si>
    <t>Avni Ashar</t>
  </si>
  <si>
    <t>HDFC Bank</t>
  </si>
  <si>
    <t>Left Manali Padwal</t>
  </si>
  <si>
    <t>Manali Lakshadeep Padwal</t>
  </si>
  <si>
    <t>IndusInd Bank</t>
  </si>
  <si>
    <t>Management Total</t>
  </si>
  <si>
    <t>Priyank Sir Collection</t>
  </si>
  <si>
    <t>Boss</t>
  </si>
  <si>
    <t>Shweta Madam Collection</t>
  </si>
  <si>
    <t xml:space="preserve">Vaishali Sawant  - Admin </t>
  </si>
  <si>
    <t xml:space="preserve">Vaishali Sonu Sawant </t>
  </si>
  <si>
    <t>Bank Of Maharshtra</t>
  </si>
  <si>
    <t>Prachi Dhanawade - Admin</t>
  </si>
  <si>
    <t>Prachi Dhanavade</t>
  </si>
  <si>
    <t>Jatin Nirmal - Social Media</t>
  </si>
  <si>
    <t>Jatin Nirmal</t>
  </si>
  <si>
    <t>Sujith Surya - Social Media</t>
  </si>
  <si>
    <t xml:space="preserve">Sujith Kumar </t>
  </si>
  <si>
    <t>Tanvi Bhatt - Social Media</t>
  </si>
  <si>
    <t>Tanvi Bhatt</t>
  </si>
  <si>
    <t>RBI Bank</t>
  </si>
  <si>
    <t>Rehan Shaikh - Social Media</t>
  </si>
  <si>
    <t>Rehaan Imtiyaz Shaikh</t>
  </si>
  <si>
    <t>IDFC First Bank</t>
  </si>
  <si>
    <t>*10287667686</t>
  </si>
  <si>
    <t>Riya Pal - Mktg.</t>
  </si>
  <si>
    <t>Riya Dayaram Pal</t>
  </si>
  <si>
    <t>Shital Parmar - WD</t>
  </si>
  <si>
    <t>Sheetal Parmar</t>
  </si>
  <si>
    <t>Sohan Khedekar - WD</t>
  </si>
  <si>
    <t>Sohan Khedekar</t>
  </si>
  <si>
    <t>IDBI Bank</t>
  </si>
  <si>
    <t>Shon Fernandes - WD</t>
  </si>
  <si>
    <t>Shon Lawrence Fernandes</t>
  </si>
  <si>
    <t>Omkar Mohite - WD Tester</t>
  </si>
  <si>
    <t>Omar Sunil Mohite</t>
  </si>
  <si>
    <t>*50100811196322</t>
  </si>
  <si>
    <t>Suraj Patil - Office Boy</t>
  </si>
  <si>
    <t>Suraj Patil</t>
  </si>
  <si>
    <t xml:space="preserve">Panjab National Bank </t>
  </si>
  <si>
    <t>Joseph Shetty - Office Boy</t>
  </si>
  <si>
    <t>Joseph Shetty</t>
  </si>
  <si>
    <t>Cash Payment</t>
  </si>
  <si>
    <t>HR Total</t>
  </si>
  <si>
    <t xml:space="preserve">Pooja Patel - HR </t>
  </si>
  <si>
    <t>Pooja Patel</t>
  </si>
  <si>
    <t>Bhumika Rai - HR</t>
  </si>
  <si>
    <t xml:space="preserve">Anita Balraj Rai </t>
  </si>
  <si>
    <t>Total</t>
  </si>
  <si>
    <t xml:space="preserve">Bank Total 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</si>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</sst>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[$-409]dd\-mmm\-yy;@"/>
    <numFmt numFmtId="165" formatCode="[$-409]d\-mmm\-yy;@"/>
    <numFmt numFmtId="166" formatCode="_(* #,##0_);_(* \(#,##0\);_(* &quot;-&quot;??_);_(@_)"/>
    <numFmt numFmtId="167" formatCode="_(* #,##0.0_);_(* \(#,##0.0\);_(* &quot;-&quot;??_);_(@_)"/>
    <numFmt numFmtId="168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b/>
      <sz val="8"/>
      <color rgb="FFFF33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left" vertical="center" wrapText="1"/>
    </xf>
    <xf numFmtId="43" fontId="2" fillId="2" borderId="1" xfId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67" fontId="3" fillId="4" borderId="3" xfId="1" applyNumberFormat="1" applyFont="1" applyFill="1" applyBorder="1" applyAlignment="1">
      <alignment horizontal="left" vertical="center" wrapText="1"/>
    </xf>
    <xf numFmtId="166" fontId="3" fillId="4" borderId="4" xfId="1" applyNumberFormat="1" applyFont="1" applyFill="1" applyBorder="1" applyAlignment="1">
      <alignment horizontal="left" vertical="center" wrapText="1"/>
    </xf>
    <xf numFmtId="167" fontId="3" fillId="4" borderId="4" xfId="1" applyNumberFormat="1" applyFont="1" applyFill="1" applyBorder="1" applyAlignment="1">
      <alignment horizontal="left" vertical="center" wrapText="1"/>
    </xf>
    <xf numFmtId="164" fontId="4" fillId="4" borderId="3" xfId="1" applyNumberFormat="1" applyFont="1" applyFill="1" applyBorder="1" applyAlignment="1">
      <alignment horizontal="center" vertical="center" wrapText="1"/>
    </xf>
    <xf numFmtId="164" fontId="4" fillId="4" borderId="4" xfId="1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left" vertical="center"/>
    </xf>
    <xf numFmtId="165" fontId="4" fillId="5" borderId="1" xfId="1" applyNumberFormat="1" applyFont="1" applyFill="1" applyBorder="1" applyAlignment="1">
      <alignment horizontal="center" vertical="center"/>
    </xf>
    <xf numFmtId="43" fontId="4" fillId="5" borderId="1" xfId="1" applyFont="1" applyFill="1" applyBorder="1" applyAlignment="1">
      <alignment horizontal="center" vertical="center"/>
    </xf>
    <xf numFmtId="43" fontId="4" fillId="5" borderId="2" xfId="1" applyFont="1" applyFill="1" applyBorder="1" applyAlignment="1">
      <alignment horizontal="center" vertical="center"/>
    </xf>
    <xf numFmtId="43" fontId="4" fillId="5" borderId="2" xfId="1" applyFont="1" applyFill="1" applyBorder="1" applyAlignment="1">
      <alignment vertical="center"/>
    </xf>
    <xf numFmtId="0" fontId="5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left" vertical="center"/>
    </xf>
    <xf numFmtId="43" fontId="2" fillId="2" borderId="2" xfId="1" applyFont="1" applyFill="1" applyBorder="1" applyAlignment="1">
      <alignment horizontal="right" vertical="center"/>
    </xf>
    <xf numFmtId="43" fontId="2" fillId="2" borderId="2" xfId="1" applyFont="1" applyFill="1" applyBorder="1" applyAlignment="1">
      <alignment vertical="center"/>
    </xf>
    <xf numFmtId="2" fontId="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7" fontId="3" fillId="4" borderId="3" xfId="1" applyNumberFormat="1" applyFont="1" applyFill="1" applyBorder="1" applyAlignment="1">
      <alignment horizontal="left" vertical="center"/>
    </xf>
    <xf numFmtId="166" fontId="3" fillId="4" borderId="4" xfId="1" applyNumberFormat="1" applyFont="1" applyFill="1" applyBorder="1" applyAlignment="1">
      <alignment horizontal="left" vertical="center"/>
    </xf>
    <xf numFmtId="167" fontId="3" fillId="4" borderId="4" xfId="1" applyNumberFormat="1" applyFont="1" applyFill="1" applyBorder="1" applyAlignment="1">
      <alignment horizontal="left" vertical="center"/>
    </xf>
    <xf numFmtId="43" fontId="4" fillId="6" borderId="3" xfId="1" applyFont="1" applyFill="1" applyBorder="1" applyAlignment="1">
      <alignment horizontal="center" vertical="center"/>
    </xf>
    <xf numFmtId="43" fontId="4" fillId="6" borderId="4" xfId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left" vertical="center"/>
    </xf>
    <xf numFmtId="43" fontId="2" fillId="3" borderId="1" xfId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168" fontId="3" fillId="4" borderId="4" xfId="1" applyNumberFormat="1" applyFont="1" applyFill="1" applyBorder="1" applyAlignment="1">
      <alignment horizontal="left" vertical="center"/>
    </xf>
    <xf numFmtId="43" fontId="2" fillId="9" borderId="1" xfId="1" applyFont="1" applyFill="1" applyBorder="1" applyAlignment="1">
      <alignment horizontal="center" vertical="center"/>
    </xf>
    <xf numFmtId="43" fontId="2" fillId="9" borderId="1" xfId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left" vertical="center"/>
    </xf>
    <xf numFmtId="165" fontId="6" fillId="2" borderId="1" xfId="1" applyNumberFormat="1" applyFont="1" applyFill="1" applyBorder="1" applyAlignment="1">
      <alignment horizontal="center" vertical="center"/>
    </xf>
    <xf numFmtId="43" fontId="6" fillId="2" borderId="1" xfId="1" applyFont="1" applyFill="1" applyBorder="1" applyAlignment="1">
      <alignment horizontal="center" vertical="center"/>
    </xf>
    <xf numFmtId="43" fontId="6" fillId="2" borderId="1" xfId="1" applyFont="1" applyFill="1" applyBorder="1" applyAlignment="1">
      <alignment horizontal="left" vertical="center"/>
    </xf>
    <xf numFmtId="43" fontId="6" fillId="2" borderId="2" xfId="1" applyFont="1" applyFill="1" applyBorder="1" applyAlignment="1">
      <alignment horizontal="right" vertical="center"/>
    </xf>
    <xf numFmtId="43" fontId="6" fillId="2" borderId="2" xfId="1" applyFont="1" applyFill="1" applyBorder="1" applyAlignment="1">
      <alignment vertical="center"/>
    </xf>
    <xf numFmtId="166" fontId="6" fillId="2" borderId="1" xfId="1" applyNumberFormat="1" applyFont="1" applyFill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 vertical="center"/>
    </xf>
    <xf numFmtId="167" fontId="6" fillId="4" borderId="3" xfId="1" applyNumberFormat="1" applyFont="1" applyFill="1" applyBorder="1" applyAlignment="1">
      <alignment horizontal="left" vertical="center"/>
    </xf>
    <xf numFmtId="166" fontId="6" fillId="4" borderId="4" xfId="1" applyNumberFormat="1" applyFont="1" applyFill="1" applyBorder="1" applyAlignment="1">
      <alignment horizontal="left" vertical="center"/>
    </xf>
    <xf numFmtId="167" fontId="6" fillId="4" borderId="4" xfId="1" applyNumberFormat="1" applyFont="1" applyFill="1" applyBorder="1" applyAlignment="1">
      <alignment horizontal="left" vertical="center"/>
    </xf>
    <xf numFmtId="43" fontId="6" fillId="6" borderId="3" xfId="1" applyFont="1" applyFill="1" applyBorder="1" applyAlignment="1">
      <alignment horizontal="center" vertical="center"/>
    </xf>
    <xf numFmtId="43" fontId="6" fillId="6" borderId="4" xfId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left" vertical="center"/>
    </xf>
    <xf numFmtId="165" fontId="4" fillId="9" borderId="1" xfId="1" applyNumberFormat="1" applyFont="1" applyFill="1" applyBorder="1" applyAlignment="1">
      <alignment horizontal="center" vertical="center"/>
    </xf>
    <xf numFmtId="43" fontId="4" fillId="9" borderId="1" xfId="1" applyFont="1" applyFill="1" applyBorder="1" applyAlignment="1">
      <alignment horizontal="center" vertical="center"/>
    </xf>
    <xf numFmtId="43" fontId="4" fillId="9" borderId="1" xfId="1" applyFont="1" applyFill="1" applyBorder="1" applyAlignment="1">
      <alignment horizontal="left" vertical="center"/>
    </xf>
    <xf numFmtId="43" fontId="4" fillId="9" borderId="2" xfId="1" applyFont="1" applyFill="1" applyBorder="1" applyAlignment="1">
      <alignment horizontal="right" vertical="center"/>
    </xf>
    <xf numFmtId="43" fontId="4" fillId="9" borderId="2" xfId="1" applyFont="1" applyFill="1" applyBorder="1" applyAlignment="1">
      <alignment vertical="center"/>
    </xf>
    <xf numFmtId="2" fontId="4" fillId="9" borderId="1" xfId="1" applyNumberFormat="1" applyFont="1" applyFill="1" applyBorder="1" applyAlignment="1">
      <alignment horizontal="center" vertical="center"/>
    </xf>
    <xf numFmtId="166" fontId="4" fillId="9" borderId="1" xfId="1" applyNumberFormat="1" applyFont="1" applyFill="1" applyBorder="1" applyAlignment="1">
      <alignment horizontal="center" vertical="center"/>
    </xf>
    <xf numFmtId="166" fontId="4" fillId="9" borderId="1" xfId="0" applyNumberFormat="1" applyFont="1" applyFill="1" applyBorder="1" applyAlignment="1">
      <alignment horizontal="center" vertical="center"/>
    </xf>
    <xf numFmtId="167" fontId="4" fillId="9" borderId="3" xfId="1" applyNumberFormat="1" applyFont="1" applyFill="1" applyBorder="1" applyAlignment="1">
      <alignment horizontal="left" vertical="center"/>
    </xf>
    <xf numFmtId="166" fontId="4" fillId="9" borderId="4" xfId="1" applyNumberFormat="1" applyFont="1" applyFill="1" applyBorder="1" applyAlignment="1">
      <alignment horizontal="left" vertical="center"/>
    </xf>
    <xf numFmtId="167" fontId="4" fillId="9" borderId="4" xfId="1" applyNumberFormat="1" applyFont="1" applyFill="1" applyBorder="1" applyAlignment="1">
      <alignment horizontal="left" vertical="center"/>
    </xf>
    <xf numFmtId="43" fontId="4" fillId="9" borderId="3" xfId="1" applyFont="1" applyFill="1" applyBorder="1" applyAlignment="1">
      <alignment horizontal="center" vertical="center"/>
    </xf>
    <xf numFmtId="43" fontId="4" fillId="9" borderId="4" xfId="1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165" fontId="4" fillId="10" borderId="1" xfId="1" applyNumberFormat="1" applyFont="1" applyFill="1" applyBorder="1" applyAlignment="1">
      <alignment horizontal="center" vertical="center"/>
    </xf>
    <xf numFmtId="43" fontId="4" fillId="10" borderId="1" xfId="1" applyFont="1" applyFill="1" applyBorder="1" applyAlignment="1">
      <alignment horizontal="center" vertical="center"/>
    </xf>
    <xf numFmtId="43" fontId="4" fillId="10" borderId="1" xfId="1" applyFont="1" applyFill="1" applyBorder="1" applyAlignment="1">
      <alignment horizontal="left" vertical="center"/>
    </xf>
    <xf numFmtId="43" fontId="4" fillId="10" borderId="2" xfId="1" applyFont="1" applyFill="1" applyBorder="1" applyAlignment="1">
      <alignment horizontal="right" vertical="center"/>
    </xf>
    <xf numFmtId="43" fontId="4" fillId="10" borderId="2" xfId="1" applyFont="1" applyFill="1" applyBorder="1" applyAlignment="1">
      <alignment vertical="center"/>
    </xf>
    <xf numFmtId="2" fontId="4" fillId="10" borderId="1" xfId="1" applyNumberFormat="1" applyFont="1" applyFill="1" applyBorder="1" applyAlignment="1">
      <alignment horizontal="center" vertical="center"/>
    </xf>
    <xf numFmtId="166" fontId="4" fillId="10" borderId="1" xfId="1" applyNumberFormat="1" applyFont="1" applyFill="1" applyBorder="1" applyAlignment="1">
      <alignment horizontal="center" vertical="center"/>
    </xf>
    <xf numFmtId="166" fontId="4" fillId="10" borderId="1" xfId="0" applyNumberFormat="1" applyFont="1" applyFill="1" applyBorder="1" applyAlignment="1">
      <alignment horizontal="center" vertical="center"/>
    </xf>
    <xf numFmtId="167" fontId="4" fillId="10" borderId="3" xfId="1" applyNumberFormat="1" applyFont="1" applyFill="1" applyBorder="1" applyAlignment="1">
      <alignment horizontal="left" vertical="center"/>
    </xf>
    <xf numFmtId="166" fontId="4" fillId="10" borderId="4" xfId="1" applyNumberFormat="1" applyFont="1" applyFill="1" applyBorder="1" applyAlignment="1">
      <alignment horizontal="left" vertical="center"/>
    </xf>
    <xf numFmtId="167" fontId="4" fillId="10" borderId="4" xfId="1" applyNumberFormat="1" applyFont="1" applyFill="1" applyBorder="1" applyAlignment="1">
      <alignment horizontal="left" vertical="center"/>
    </xf>
    <xf numFmtId="43" fontId="4" fillId="10" borderId="3" xfId="1" applyFont="1" applyFill="1" applyBorder="1" applyAlignment="1">
      <alignment horizontal="center" vertical="center"/>
    </xf>
    <xf numFmtId="43" fontId="4" fillId="10" borderId="4" xfId="1" applyFont="1" applyFill="1" applyBorder="1" applyAlignment="1">
      <alignment horizontal="center" vertical="center"/>
    </xf>
    <xf numFmtId="0" fontId="5" fillId="10" borderId="0" xfId="0" applyFont="1" applyFill="1"/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left" vertical="center"/>
    </xf>
    <xf numFmtId="165" fontId="4" fillId="8" borderId="1" xfId="1" applyNumberFormat="1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horizontal="center" vertical="center"/>
    </xf>
    <xf numFmtId="43" fontId="4" fillId="8" borderId="1" xfId="1" applyFont="1" applyFill="1" applyBorder="1" applyAlignment="1">
      <alignment horizontal="left" vertical="center"/>
    </xf>
    <xf numFmtId="43" fontId="4" fillId="8" borderId="2" xfId="1" applyFont="1" applyFill="1" applyBorder="1" applyAlignment="1">
      <alignment horizontal="right" vertical="center"/>
    </xf>
    <xf numFmtId="43" fontId="4" fillId="8" borderId="2" xfId="1" applyFont="1" applyFill="1" applyBorder="1" applyAlignment="1">
      <alignment vertical="center"/>
    </xf>
    <xf numFmtId="2" fontId="4" fillId="8" borderId="1" xfId="1" applyNumberFormat="1" applyFont="1" applyFill="1" applyBorder="1" applyAlignment="1">
      <alignment horizontal="center" vertical="center"/>
    </xf>
    <xf numFmtId="166" fontId="4" fillId="8" borderId="1" xfId="1" applyNumberFormat="1" applyFont="1" applyFill="1" applyBorder="1" applyAlignment="1">
      <alignment horizontal="center" vertical="center"/>
    </xf>
    <xf numFmtId="166" fontId="4" fillId="8" borderId="1" xfId="0" applyNumberFormat="1" applyFont="1" applyFill="1" applyBorder="1" applyAlignment="1">
      <alignment horizontal="center" vertical="center"/>
    </xf>
    <xf numFmtId="167" fontId="4" fillId="8" borderId="3" xfId="1" applyNumberFormat="1" applyFont="1" applyFill="1" applyBorder="1" applyAlignment="1">
      <alignment horizontal="left" vertical="center"/>
    </xf>
    <xf numFmtId="166" fontId="4" fillId="8" borderId="4" xfId="1" applyNumberFormat="1" applyFont="1" applyFill="1" applyBorder="1" applyAlignment="1">
      <alignment horizontal="left" vertical="center"/>
    </xf>
    <xf numFmtId="167" fontId="4" fillId="8" borderId="4" xfId="1" applyNumberFormat="1" applyFont="1" applyFill="1" applyBorder="1" applyAlignment="1">
      <alignment horizontal="left" vertical="center"/>
    </xf>
    <xf numFmtId="43" fontId="4" fillId="8" borderId="3" xfId="1" applyFont="1" applyFill="1" applyBorder="1" applyAlignment="1">
      <alignment horizontal="center" vertical="center"/>
    </xf>
    <xf numFmtId="43" fontId="4" fillId="8" borderId="4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92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5" x14ac:dyDescent="0.25"/>
  <cols>
    <col min="1" max="1" width="28.140625" bestFit="1" customWidth="1"/>
    <col min="2" max="2" width="28" bestFit="1" customWidth="1"/>
    <col min="3" max="3" width="7.85546875" bestFit="1" customWidth="1"/>
    <col min="4" max="4" width="24.28515625" bestFit="1" customWidth="1"/>
    <col min="5" max="5" width="14.85546875" bestFit="1" customWidth="1"/>
    <col min="6" max="6" width="15.42578125" bestFit="1" customWidth="1"/>
    <col min="7" max="7" width="8.7109375" bestFit="1" customWidth="1"/>
    <col min="8" max="12" width="11.140625" bestFit="1" customWidth="1"/>
    <col min="13" max="14" width="9.85546875" bestFit="1" customWidth="1"/>
    <col min="15" max="15" width="11.7109375" bestFit="1" customWidth="1"/>
    <col min="16" max="16" width="8.28515625" bestFit="1" customWidth="1"/>
    <col min="17" max="17" width="8.140625" bestFit="1" customWidth="1"/>
    <col min="18" max="18" width="10" bestFit="1" customWidth="1"/>
    <col min="19" max="19" width="7.42578125" bestFit="1" customWidth="1"/>
    <col min="20" max="20" width="8.140625" bestFit="1" customWidth="1"/>
    <col min="21" max="21" width="12" bestFit="1" customWidth="1"/>
    <col min="22" max="22" width="8.140625" bestFit="1" customWidth="1"/>
    <col min="23" max="23" width="12.7109375" bestFit="1" customWidth="1"/>
    <col min="24" max="24" width="9.85546875" bestFit="1" customWidth="1"/>
    <col min="25" max="25" width="13.7109375" bestFit="1" customWidth="1"/>
    <col min="26" max="26" width="13.5703125" bestFit="1" customWidth="1"/>
    <col min="27" max="27" width="12.85546875" bestFit="1" customWidth="1"/>
    <col min="28" max="28" width="9.85546875" bestFit="1" customWidth="1"/>
    <col min="29" max="29" width="8.28515625" bestFit="1" customWidth="1"/>
    <col min="30" max="30" width="8.42578125" bestFit="1" customWidth="1"/>
    <col min="32" max="32" width="8.85546875" bestFit="1" customWidth="1"/>
    <col min="33" max="33" width="8.28515625" bestFit="1" customWidth="1"/>
    <col min="34" max="34" width="6" bestFit="1" customWidth="1"/>
    <col min="35" max="35" width="8.5703125" bestFit="1" customWidth="1"/>
    <col min="36" max="38" width="9.85546875" bestFit="1" customWidth="1"/>
    <col min="39" max="39" width="9" bestFit="1" customWidth="1"/>
    <col min="40" max="40" width="8.140625" bestFit="1" customWidth="1"/>
    <col min="41" max="41" width="9.85546875" bestFit="1" customWidth="1"/>
    <col min="42" max="43" width="9" bestFit="1" customWidth="1"/>
    <col min="44" max="44" width="9.85546875" bestFit="1" customWidth="1"/>
    <col min="45" max="46" width="9" bestFit="1" customWidth="1"/>
    <col min="47" max="47" width="8.140625" bestFit="1" customWidth="1"/>
    <col min="48" max="49" width="9" bestFit="1" customWidth="1"/>
    <col min="50" max="50" width="9.85546875" bestFit="1" customWidth="1"/>
    <col min="51" max="52" width="9" bestFit="1" customWidth="1"/>
    <col min="53" max="53" width="9.85546875" bestFit="1" customWidth="1"/>
    <col min="54" max="54" width="8.140625" bestFit="1" customWidth="1"/>
    <col min="55" max="66" width="9" bestFit="1" customWidth="1"/>
  </cols>
  <sheetData>
    <row r="1" spans="1:66" ht="33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4" t="s">
        <v>31</v>
      </c>
      <c r="AG1" s="13" t="s">
        <v>32</v>
      </c>
      <c r="AH1" s="14" t="s">
        <v>33</v>
      </c>
      <c r="AI1" s="13" t="s">
        <v>34</v>
      </c>
      <c r="AJ1" s="15">
        <v>46204</v>
      </c>
      <c r="AK1" s="16">
        <v>46205</v>
      </c>
      <c r="AL1" s="15">
        <v>46206</v>
      </c>
      <c r="AM1" s="16">
        <v>46207</v>
      </c>
      <c r="AN1" s="15">
        <v>46208</v>
      </c>
      <c r="AO1" s="16">
        <v>46209</v>
      </c>
      <c r="AP1" s="15">
        <v>46210</v>
      </c>
      <c r="AQ1" s="16">
        <v>46211</v>
      </c>
      <c r="AR1" s="15">
        <v>46212</v>
      </c>
      <c r="AS1" s="16">
        <v>46213</v>
      </c>
      <c r="AT1" s="15">
        <v>46214</v>
      </c>
      <c r="AU1" s="16">
        <v>46215</v>
      </c>
      <c r="AV1" s="15">
        <v>46216</v>
      </c>
      <c r="AW1" s="16">
        <v>46217</v>
      </c>
      <c r="AX1" s="15">
        <v>46218</v>
      </c>
      <c r="AY1" s="16">
        <v>46219</v>
      </c>
      <c r="AZ1" s="15">
        <v>46220</v>
      </c>
      <c r="BA1" s="16">
        <v>46221</v>
      </c>
      <c r="BB1" s="15">
        <v>46222</v>
      </c>
      <c r="BC1" s="16">
        <v>46223</v>
      </c>
      <c r="BD1" s="15">
        <v>46224</v>
      </c>
      <c r="BE1" s="16">
        <v>46225</v>
      </c>
      <c r="BF1" s="15">
        <v>46226</v>
      </c>
      <c r="BG1" s="16">
        <v>46227</v>
      </c>
      <c r="BH1" s="15">
        <v>46228</v>
      </c>
      <c r="BI1" s="16">
        <v>46229</v>
      </c>
      <c r="BJ1" s="15">
        <v>46230</v>
      </c>
      <c r="BK1" s="16">
        <v>46231</v>
      </c>
      <c r="BL1" s="15">
        <v>46232</v>
      </c>
      <c r="BM1" s="16">
        <v>46233</v>
      </c>
      <c r="BN1" s="16">
        <v>46234</v>
      </c>
    </row>
    <row r="2" spans="1:66" s="24" customFormat="1" x14ac:dyDescent="0.25">
      <c r="A2" s="17" t="s">
        <v>35</v>
      </c>
      <c r="B2" s="17"/>
      <c r="C2" s="18"/>
      <c r="D2" s="17"/>
      <c r="E2" s="19"/>
      <c r="F2" s="18"/>
      <c r="G2" s="20"/>
      <c r="H2" s="21">
        <f>SUM(H3:H14)</f>
        <v>189000</v>
      </c>
      <c r="I2" s="21">
        <f t="shared" ref="I2:BN2" si="0">SUM(I3:I14)</f>
        <v>1820000</v>
      </c>
      <c r="J2" s="21">
        <f t="shared" si="0"/>
        <v>1745000</v>
      </c>
      <c r="K2" s="21">
        <f t="shared" si="0"/>
        <v>1101126</v>
      </c>
      <c r="L2" s="22">
        <f>SUM(L3:L14)</f>
        <v>877431</v>
      </c>
      <c r="M2" s="21">
        <f t="shared" si="0"/>
        <v>173690</v>
      </c>
      <c r="N2" s="21">
        <f t="shared" si="0"/>
        <v>50005</v>
      </c>
      <c r="O2" s="21">
        <f t="shared" si="0"/>
        <v>-643874</v>
      </c>
      <c r="P2" s="23">
        <f t="shared" si="0"/>
        <v>628.2925854736767</v>
      </c>
      <c r="Q2" s="22">
        <f t="shared" si="0"/>
        <v>330</v>
      </c>
      <c r="R2" s="22">
        <f t="shared" si="0"/>
        <v>0</v>
      </c>
      <c r="S2" s="22">
        <f t="shared" si="0"/>
        <v>0</v>
      </c>
      <c r="T2" s="22">
        <f t="shared" si="0"/>
        <v>330</v>
      </c>
      <c r="U2" s="22">
        <f t="shared" si="0"/>
        <v>167854.83870967742</v>
      </c>
      <c r="V2" s="22">
        <f t="shared" si="0"/>
        <v>1213.2</v>
      </c>
      <c r="W2" s="22">
        <f t="shared" si="0"/>
        <v>0</v>
      </c>
      <c r="X2" s="22">
        <f t="shared" si="0"/>
        <v>169068.03870967741</v>
      </c>
      <c r="Y2" s="22">
        <f t="shared" si="0"/>
        <v>0</v>
      </c>
      <c r="Z2" s="22">
        <f t="shared" si="0"/>
        <v>0</v>
      </c>
      <c r="AA2" s="22">
        <f t="shared" si="0"/>
        <v>3500</v>
      </c>
      <c r="AB2" s="22">
        <f t="shared" si="0"/>
        <v>165568.03870967741</v>
      </c>
      <c r="AC2" s="22">
        <f t="shared" si="0"/>
        <v>0</v>
      </c>
      <c r="AD2" s="22">
        <f t="shared" si="0"/>
        <v>0</v>
      </c>
      <c r="AE2" s="22">
        <f t="shared" si="0"/>
        <v>0</v>
      </c>
      <c r="AF2" s="22">
        <f t="shared" si="0"/>
        <v>0</v>
      </c>
      <c r="AG2" s="22">
        <f t="shared" si="0"/>
        <v>0</v>
      </c>
      <c r="AH2" s="22">
        <f t="shared" si="0"/>
        <v>0</v>
      </c>
      <c r="AI2" s="22">
        <f t="shared" si="0"/>
        <v>0</v>
      </c>
      <c r="AJ2" s="22">
        <f t="shared" si="0"/>
        <v>85506</v>
      </c>
      <c r="AK2" s="22">
        <f t="shared" si="0"/>
        <v>90822</v>
      </c>
      <c r="AL2" s="22">
        <f t="shared" si="0"/>
        <v>75819</v>
      </c>
      <c r="AM2" s="22">
        <f t="shared" si="0"/>
        <v>52906</v>
      </c>
      <c r="AN2" s="22">
        <f t="shared" si="0"/>
        <v>4550</v>
      </c>
      <c r="AO2" s="22">
        <f t="shared" si="0"/>
        <v>65004</v>
      </c>
      <c r="AP2" s="22">
        <f t="shared" si="0"/>
        <v>25052</v>
      </c>
      <c r="AQ2" s="22">
        <f t="shared" si="0"/>
        <v>47822</v>
      </c>
      <c r="AR2" s="22">
        <f t="shared" si="0"/>
        <v>47703</v>
      </c>
      <c r="AS2" s="22">
        <f t="shared" si="0"/>
        <v>19115</v>
      </c>
      <c r="AT2" s="22">
        <f t="shared" si="0"/>
        <v>26455</v>
      </c>
      <c r="AU2" s="22">
        <f t="shared" si="0"/>
        <v>7751</v>
      </c>
      <c r="AV2" s="22">
        <f t="shared" si="0"/>
        <v>35702</v>
      </c>
      <c r="AW2" s="22">
        <f t="shared" si="0"/>
        <v>34388</v>
      </c>
      <c r="AX2" s="22">
        <f t="shared" si="0"/>
        <v>21604</v>
      </c>
      <c r="AY2" s="22">
        <f t="shared" si="0"/>
        <v>18715</v>
      </c>
      <c r="AZ2" s="22">
        <f t="shared" si="0"/>
        <v>41902</v>
      </c>
      <c r="BA2" s="22">
        <f t="shared" si="0"/>
        <v>20103</v>
      </c>
      <c r="BB2" s="22">
        <f t="shared" si="0"/>
        <v>2110</v>
      </c>
      <c r="BC2" s="22">
        <f t="shared" si="0"/>
        <v>38850</v>
      </c>
      <c r="BD2" s="22">
        <f t="shared" si="0"/>
        <v>24653</v>
      </c>
      <c r="BE2" s="22">
        <f t="shared" si="0"/>
        <v>17953</v>
      </c>
      <c r="BF2" s="22">
        <f t="shared" si="0"/>
        <v>47103</v>
      </c>
      <c r="BG2" s="22">
        <f t="shared" si="0"/>
        <v>32578</v>
      </c>
      <c r="BH2" s="22">
        <f t="shared" si="0"/>
        <v>35307</v>
      </c>
      <c r="BI2" s="21">
        <f t="shared" si="0"/>
        <v>20968</v>
      </c>
      <c r="BJ2" s="21">
        <f t="shared" si="0"/>
        <v>24252</v>
      </c>
      <c r="BK2" s="21">
        <f t="shared" si="0"/>
        <v>29305</v>
      </c>
      <c r="BL2" s="21">
        <f t="shared" si="0"/>
        <v>51773</v>
      </c>
      <c r="BM2" s="21">
        <f t="shared" si="0"/>
        <v>35503</v>
      </c>
      <c r="BN2" s="21">
        <f t="shared" si="0"/>
        <v>19852</v>
      </c>
    </row>
    <row r="3" spans="1:66" x14ac:dyDescent="0.25">
      <c r="A3" s="25" t="s">
        <v>36</v>
      </c>
      <c r="B3" s="25" t="s">
        <v>36</v>
      </c>
      <c r="C3" s="26" t="s">
        <v>37</v>
      </c>
      <c r="D3" s="25" t="s">
        <v>38</v>
      </c>
      <c r="E3" s="27">
        <v>520101050232386</v>
      </c>
      <c r="F3" s="26" t="s">
        <v>39</v>
      </c>
      <c r="G3" s="28">
        <v>45615</v>
      </c>
      <c r="H3" s="29">
        <v>17000</v>
      </c>
      <c r="I3" s="30">
        <v>100000</v>
      </c>
      <c r="J3" s="30">
        <v>100000</v>
      </c>
      <c r="K3" s="30">
        <f t="shared" ref="K3:K14" si="1">SUM(AJ3:BN3)</f>
        <v>41805</v>
      </c>
      <c r="L3" s="31">
        <v>36655</v>
      </c>
      <c r="M3" s="30">
        <v>4600</v>
      </c>
      <c r="N3" s="30">
        <v>550</v>
      </c>
      <c r="O3" s="30">
        <f>K3-J3</f>
        <v>-58195</v>
      </c>
      <c r="P3" s="32">
        <f t="shared" ref="P3:P14" si="2">K3*100/I3</f>
        <v>41.805</v>
      </c>
      <c r="Q3" s="33">
        <v>29</v>
      </c>
      <c r="R3" s="33">
        <v>0</v>
      </c>
      <c r="S3" s="33">
        <v>0</v>
      </c>
      <c r="T3" s="29">
        <f>Q3-R3+S3</f>
        <v>29</v>
      </c>
      <c r="U3" s="34">
        <f t="shared" ref="U3:U14" si="3">H3*T3/31</f>
        <v>15903.225806451614</v>
      </c>
      <c r="V3" s="34">
        <v>0</v>
      </c>
      <c r="W3" s="34">
        <v>0</v>
      </c>
      <c r="X3" s="35">
        <f t="shared" ref="X3:X14" si="4">SUM(U3:W3)</f>
        <v>15903.225806451614</v>
      </c>
      <c r="Y3" s="34">
        <v>0</v>
      </c>
      <c r="Z3" s="34">
        <v>0</v>
      </c>
      <c r="AA3" s="35">
        <v>0</v>
      </c>
      <c r="AB3" s="35">
        <f>X3+Y3+Z3-AA3</f>
        <v>15903.225806451614</v>
      </c>
      <c r="AC3" s="36">
        <v>0</v>
      </c>
      <c r="AD3" s="36">
        <v>0</v>
      </c>
      <c r="AE3" s="37">
        <v>0</v>
      </c>
      <c r="AF3" s="38">
        <v>0</v>
      </c>
      <c r="AG3" s="37"/>
      <c r="AH3" s="38"/>
      <c r="AI3" s="37">
        <v>0</v>
      </c>
      <c r="AJ3" s="39">
        <v>5000</v>
      </c>
      <c r="AK3" s="40">
        <v>2750</v>
      </c>
      <c r="AL3" s="40">
        <v>1801</v>
      </c>
      <c r="AM3" s="40">
        <v>3250</v>
      </c>
      <c r="AN3" s="40">
        <v>0</v>
      </c>
      <c r="AO3" s="40">
        <v>0</v>
      </c>
      <c r="AP3" s="40">
        <v>1250</v>
      </c>
      <c r="AQ3" s="40">
        <v>5451</v>
      </c>
      <c r="AR3" s="40">
        <v>2250</v>
      </c>
      <c r="AS3" s="40">
        <v>500</v>
      </c>
      <c r="AT3" s="40">
        <v>2000</v>
      </c>
      <c r="AU3" s="40">
        <v>0</v>
      </c>
      <c r="AV3" s="40">
        <v>500</v>
      </c>
      <c r="AW3" s="40">
        <v>600</v>
      </c>
      <c r="AX3" s="40">
        <v>0</v>
      </c>
      <c r="AY3" s="40">
        <v>0</v>
      </c>
      <c r="AZ3" s="40">
        <v>1000</v>
      </c>
      <c r="BA3" s="40">
        <v>500</v>
      </c>
      <c r="BB3" s="40">
        <v>0</v>
      </c>
      <c r="BC3" s="40">
        <v>0</v>
      </c>
      <c r="BD3" s="40"/>
      <c r="BE3" s="40">
        <v>251</v>
      </c>
      <c r="BF3" s="40">
        <v>1950</v>
      </c>
      <c r="BG3" s="40">
        <v>2751</v>
      </c>
      <c r="BH3" s="40">
        <v>1500</v>
      </c>
      <c r="BI3" s="40">
        <v>4001</v>
      </c>
      <c r="BJ3" s="40">
        <v>3500</v>
      </c>
      <c r="BK3" s="40"/>
      <c r="BL3" s="40">
        <v>500</v>
      </c>
      <c r="BM3" s="40">
        <v>500</v>
      </c>
      <c r="BN3" s="40"/>
    </row>
    <row r="4" spans="1:66" x14ac:dyDescent="0.25">
      <c r="A4" s="25" t="s">
        <v>40</v>
      </c>
      <c r="B4" s="25" t="s">
        <v>40</v>
      </c>
      <c r="C4" s="26" t="s">
        <v>37</v>
      </c>
      <c r="D4" s="25" t="s">
        <v>38</v>
      </c>
      <c r="E4" s="27">
        <v>696702010016310</v>
      </c>
      <c r="F4" s="26" t="s">
        <v>41</v>
      </c>
      <c r="G4" s="28">
        <v>45516</v>
      </c>
      <c r="H4" s="29">
        <v>13000</v>
      </c>
      <c r="I4" s="30">
        <v>60000</v>
      </c>
      <c r="J4" s="30">
        <v>40000</v>
      </c>
      <c r="K4" s="30">
        <f t="shared" si="1"/>
        <v>24871</v>
      </c>
      <c r="L4" s="31">
        <v>9501</v>
      </c>
      <c r="M4" s="30">
        <v>14670</v>
      </c>
      <c r="N4" s="30">
        <v>700</v>
      </c>
      <c r="O4" s="30">
        <f t="shared" ref="O4:O67" si="5">K4-J4</f>
        <v>-15129</v>
      </c>
      <c r="P4" s="32">
        <f t="shared" si="2"/>
        <v>41.451666666666668</v>
      </c>
      <c r="Q4" s="33">
        <v>30</v>
      </c>
      <c r="R4" s="33">
        <v>0</v>
      </c>
      <c r="S4" s="33">
        <v>0</v>
      </c>
      <c r="T4" s="29">
        <f t="shared" ref="T4:T72" si="6">Q4-R4+S4</f>
        <v>30</v>
      </c>
      <c r="U4" s="34">
        <f t="shared" si="3"/>
        <v>12580.645161290322</v>
      </c>
      <c r="V4" s="34">
        <v>0</v>
      </c>
      <c r="W4" s="34">
        <v>0</v>
      </c>
      <c r="X4" s="35">
        <f t="shared" si="4"/>
        <v>12580.645161290322</v>
      </c>
      <c r="Y4" s="34">
        <v>0</v>
      </c>
      <c r="Z4" s="34">
        <v>0</v>
      </c>
      <c r="AA4" s="35">
        <v>0</v>
      </c>
      <c r="AB4" s="35">
        <f t="shared" ref="AB4:AB67" si="7">X4+Y4+Z4-AA4</f>
        <v>12580.645161290322</v>
      </c>
      <c r="AC4" s="36">
        <v>0</v>
      </c>
      <c r="AD4" s="36">
        <v>0</v>
      </c>
      <c r="AE4" s="37">
        <v>0</v>
      </c>
      <c r="AF4" s="38">
        <v>0</v>
      </c>
      <c r="AG4" s="37"/>
      <c r="AH4" s="38"/>
      <c r="AI4" s="37">
        <v>0</v>
      </c>
      <c r="AJ4" s="39">
        <v>600</v>
      </c>
      <c r="AK4" s="40">
        <v>0</v>
      </c>
      <c r="AL4" s="40">
        <v>900</v>
      </c>
      <c r="AM4" s="40">
        <v>2750</v>
      </c>
      <c r="AN4" s="40">
        <v>0</v>
      </c>
      <c r="AO4" s="40">
        <v>5501</v>
      </c>
      <c r="AP4" s="40">
        <v>1400</v>
      </c>
      <c r="AQ4" s="40">
        <v>1500</v>
      </c>
      <c r="AR4" s="40">
        <v>1051</v>
      </c>
      <c r="AS4" s="40">
        <v>1011</v>
      </c>
      <c r="AT4" s="40">
        <v>500</v>
      </c>
      <c r="AU4" s="40">
        <v>0</v>
      </c>
      <c r="AV4" s="40">
        <v>1501</v>
      </c>
      <c r="AW4" s="40">
        <v>0</v>
      </c>
      <c r="AX4" s="40">
        <v>551</v>
      </c>
      <c r="AY4" s="40">
        <v>501</v>
      </c>
      <c r="AZ4" s="40">
        <v>0</v>
      </c>
      <c r="BA4" s="40">
        <v>0</v>
      </c>
      <c r="BB4" s="40">
        <v>0</v>
      </c>
      <c r="BC4" s="40">
        <v>1000</v>
      </c>
      <c r="BD4" s="40"/>
      <c r="BE4" s="40">
        <v>400</v>
      </c>
      <c r="BF4" s="40">
        <v>100</v>
      </c>
      <c r="BG4" s="40">
        <v>750</v>
      </c>
      <c r="BH4" s="40">
        <v>1603</v>
      </c>
      <c r="BI4" s="40">
        <v>500</v>
      </c>
      <c r="BJ4" s="40">
        <v>0</v>
      </c>
      <c r="BK4" s="40">
        <v>501</v>
      </c>
      <c r="BL4" s="40">
        <v>500</v>
      </c>
      <c r="BM4" s="40">
        <v>951</v>
      </c>
      <c r="BN4" s="40">
        <v>800</v>
      </c>
    </row>
    <row r="5" spans="1:66" x14ac:dyDescent="0.25">
      <c r="A5" s="25" t="s">
        <v>42</v>
      </c>
      <c r="B5" s="25" t="s">
        <v>43</v>
      </c>
      <c r="C5" s="26" t="s">
        <v>44</v>
      </c>
      <c r="D5" s="25" t="s">
        <v>45</v>
      </c>
      <c r="E5" s="27">
        <v>98400000002801</v>
      </c>
      <c r="F5" s="26" t="s">
        <v>46</v>
      </c>
      <c r="G5" s="28">
        <v>44704</v>
      </c>
      <c r="H5" s="29">
        <v>18000</v>
      </c>
      <c r="I5" s="30">
        <v>300000</v>
      </c>
      <c r="J5" s="30">
        <v>300000</v>
      </c>
      <c r="K5" s="30">
        <f t="shared" si="1"/>
        <v>122834</v>
      </c>
      <c r="L5" s="31">
        <v>120684</v>
      </c>
      <c r="M5" s="30">
        <v>0</v>
      </c>
      <c r="N5" s="30">
        <v>2150</v>
      </c>
      <c r="O5" s="30">
        <f t="shared" si="5"/>
        <v>-177166</v>
      </c>
      <c r="P5" s="32">
        <f t="shared" si="2"/>
        <v>40.94466666666667</v>
      </c>
      <c r="Q5" s="33">
        <v>30</v>
      </c>
      <c r="R5" s="33">
        <v>0</v>
      </c>
      <c r="S5" s="33">
        <v>0</v>
      </c>
      <c r="T5" s="29">
        <f t="shared" si="6"/>
        <v>30</v>
      </c>
      <c r="U5" s="34">
        <f t="shared" si="3"/>
        <v>17419.354838709678</v>
      </c>
      <c r="V5" s="34">
        <v>0</v>
      </c>
      <c r="W5" s="34">
        <v>0</v>
      </c>
      <c r="X5" s="35">
        <f t="shared" si="4"/>
        <v>17419.354838709678</v>
      </c>
      <c r="Y5" s="34">
        <v>0</v>
      </c>
      <c r="Z5" s="34">
        <v>0</v>
      </c>
      <c r="AA5" s="35">
        <v>3500</v>
      </c>
      <c r="AB5" s="35">
        <f t="shared" si="7"/>
        <v>13919.354838709678</v>
      </c>
      <c r="AC5" s="36">
        <v>0</v>
      </c>
      <c r="AD5" s="36">
        <v>0</v>
      </c>
      <c r="AE5" s="37">
        <v>0</v>
      </c>
      <c r="AF5" s="38">
        <v>0</v>
      </c>
      <c r="AG5" s="37"/>
      <c r="AH5" s="38"/>
      <c r="AI5" s="37">
        <v>0</v>
      </c>
      <c r="AJ5" s="39">
        <v>10302</v>
      </c>
      <c r="AK5" s="40">
        <v>10000</v>
      </c>
      <c r="AL5" s="40">
        <v>17500</v>
      </c>
      <c r="AM5" s="40">
        <v>5500</v>
      </c>
      <c r="AN5" s="40">
        <v>3000</v>
      </c>
      <c r="AO5" s="40">
        <v>4901</v>
      </c>
      <c r="AP5" s="40">
        <v>13000</v>
      </c>
      <c r="AQ5" s="40">
        <v>4151</v>
      </c>
      <c r="AR5" s="40">
        <v>6451</v>
      </c>
      <c r="AS5" s="40">
        <v>5251</v>
      </c>
      <c r="AT5" s="40">
        <v>500</v>
      </c>
      <c r="AU5" s="40">
        <v>0</v>
      </c>
      <c r="AV5" s="40">
        <v>4750</v>
      </c>
      <c r="AW5" s="40">
        <v>3222</v>
      </c>
      <c r="AX5" s="40">
        <v>3000</v>
      </c>
      <c r="AY5" s="40">
        <v>500</v>
      </c>
      <c r="AZ5" s="40">
        <v>12650</v>
      </c>
      <c r="BA5" s="40">
        <v>1852</v>
      </c>
      <c r="BB5" s="40">
        <v>0</v>
      </c>
      <c r="BC5" s="40">
        <v>550</v>
      </c>
      <c r="BD5" s="40">
        <v>0</v>
      </c>
      <c r="BE5" s="40">
        <v>6500</v>
      </c>
      <c r="BF5" s="40">
        <v>2101</v>
      </c>
      <c r="BG5" s="40">
        <v>650</v>
      </c>
      <c r="BH5" s="40">
        <v>5501</v>
      </c>
      <c r="BI5" s="40">
        <v>0</v>
      </c>
      <c r="BJ5" s="40">
        <v>501</v>
      </c>
      <c r="BK5" s="40">
        <v>501</v>
      </c>
      <c r="BL5" s="40"/>
      <c r="BM5" s="40"/>
      <c r="BN5" s="40"/>
    </row>
    <row r="6" spans="1:66" x14ac:dyDescent="0.25">
      <c r="A6" s="25" t="s">
        <v>47</v>
      </c>
      <c r="B6" s="25" t="s">
        <v>48</v>
      </c>
      <c r="C6" s="26" t="s">
        <v>37</v>
      </c>
      <c r="D6" s="25" t="s">
        <v>49</v>
      </c>
      <c r="E6" s="27">
        <v>5102500101408600</v>
      </c>
      <c r="F6" s="26" t="s">
        <v>50</v>
      </c>
      <c r="G6" s="28">
        <v>45516</v>
      </c>
      <c r="H6" s="29">
        <v>14000</v>
      </c>
      <c r="I6" s="30">
        <v>80000</v>
      </c>
      <c r="J6" s="30">
        <v>80000</v>
      </c>
      <c r="K6" s="30">
        <f t="shared" si="1"/>
        <v>34053</v>
      </c>
      <c r="L6" s="31">
        <v>12751</v>
      </c>
      <c r="M6" s="30">
        <v>19551</v>
      </c>
      <c r="N6" s="30">
        <v>1751</v>
      </c>
      <c r="O6" s="30">
        <f t="shared" si="5"/>
        <v>-45947</v>
      </c>
      <c r="P6" s="32">
        <f t="shared" si="2"/>
        <v>42.566249999999997</v>
      </c>
      <c r="Q6" s="33">
        <v>30</v>
      </c>
      <c r="R6" s="33">
        <v>0</v>
      </c>
      <c r="S6" s="33">
        <v>0</v>
      </c>
      <c r="T6" s="29">
        <f t="shared" si="6"/>
        <v>30</v>
      </c>
      <c r="U6" s="34">
        <f t="shared" si="3"/>
        <v>13548.387096774193</v>
      </c>
      <c r="V6" s="34">
        <v>0</v>
      </c>
      <c r="W6" s="34">
        <v>0</v>
      </c>
      <c r="X6" s="35">
        <f t="shared" si="4"/>
        <v>13548.387096774193</v>
      </c>
      <c r="Y6" s="34">
        <v>0</v>
      </c>
      <c r="Z6" s="34">
        <v>0</v>
      </c>
      <c r="AA6" s="35">
        <v>0</v>
      </c>
      <c r="AB6" s="35">
        <f t="shared" si="7"/>
        <v>13548.387096774193</v>
      </c>
      <c r="AC6" s="36">
        <v>0</v>
      </c>
      <c r="AD6" s="36">
        <v>0</v>
      </c>
      <c r="AE6" s="37">
        <v>0</v>
      </c>
      <c r="AF6" s="38">
        <v>0</v>
      </c>
      <c r="AG6" s="37"/>
      <c r="AH6" s="38"/>
      <c r="AI6" s="37">
        <v>0</v>
      </c>
      <c r="AJ6" s="39">
        <v>2802</v>
      </c>
      <c r="AK6" s="40">
        <v>500</v>
      </c>
      <c r="AL6" s="40">
        <v>3600</v>
      </c>
      <c r="AM6" s="40">
        <v>2800</v>
      </c>
      <c r="AN6" s="40">
        <v>750</v>
      </c>
      <c r="AO6" s="40">
        <v>2700</v>
      </c>
      <c r="AP6" s="40">
        <v>1150</v>
      </c>
      <c r="AQ6" s="40">
        <v>3750</v>
      </c>
      <c r="AR6" s="40">
        <v>0</v>
      </c>
      <c r="AS6" s="40">
        <v>0</v>
      </c>
      <c r="AT6" s="40">
        <v>2750</v>
      </c>
      <c r="AU6" s="40">
        <v>0</v>
      </c>
      <c r="AV6" s="40">
        <v>2300</v>
      </c>
      <c r="AW6" s="40">
        <v>1000</v>
      </c>
      <c r="AX6" s="40">
        <v>0</v>
      </c>
      <c r="AY6" s="40">
        <v>0</v>
      </c>
      <c r="AZ6" s="40">
        <v>0</v>
      </c>
      <c r="BA6" s="40">
        <v>1201</v>
      </c>
      <c r="BB6" s="40">
        <v>0</v>
      </c>
      <c r="BC6" s="40">
        <v>0</v>
      </c>
      <c r="BD6" s="40">
        <v>200</v>
      </c>
      <c r="BE6" s="40">
        <v>0</v>
      </c>
      <c r="BF6" s="40">
        <v>2750</v>
      </c>
      <c r="BG6" s="40">
        <v>1800</v>
      </c>
      <c r="BH6" s="40">
        <v>3750</v>
      </c>
      <c r="BI6" s="40">
        <v>0</v>
      </c>
      <c r="BJ6" s="40">
        <v>0</v>
      </c>
      <c r="BK6" s="40">
        <v>250</v>
      </c>
      <c r="BL6" s="40">
        <v>0</v>
      </c>
      <c r="BM6" s="40">
        <v>0</v>
      </c>
      <c r="BN6" s="40">
        <v>0</v>
      </c>
    </row>
    <row r="7" spans="1:66" x14ac:dyDescent="0.25">
      <c r="A7" s="25" t="s">
        <v>51</v>
      </c>
      <c r="B7" s="41" t="s">
        <v>52</v>
      </c>
      <c r="C7" s="42" t="s">
        <v>53</v>
      </c>
      <c r="D7" s="41" t="s">
        <v>38</v>
      </c>
      <c r="E7" s="43">
        <v>38440210094363</v>
      </c>
      <c r="F7" s="26" t="s">
        <v>54</v>
      </c>
      <c r="G7" s="28">
        <v>45154</v>
      </c>
      <c r="H7" s="29">
        <v>14000</v>
      </c>
      <c r="I7" s="30">
        <v>100000</v>
      </c>
      <c r="J7" s="30">
        <v>100000</v>
      </c>
      <c r="K7" s="30">
        <f t="shared" si="1"/>
        <v>100405</v>
      </c>
      <c r="L7" s="31">
        <v>9501</v>
      </c>
      <c r="M7" s="30">
        <v>87703</v>
      </c>
      <c r="N7" s="30">
        <v>3201</v>
      </c>
      <c r="O7" s="44">
        <f t="shared" si="5"/>
        <v>405</v>
      </c>
      <c r="P7" s="32">
        <f t="shared" si="2"/>
        <v>100.405</v>
      </c>
      <c r="Q7" s="33">
        <v>29</v>
      </c>
      <c r="R7" s="33">
        <v>0</v>
      </c>
      <c r="S7" s="33">
        <v>0</v>
      </c>
      <c r="T7" s="29">
        <f t="shared" si="6"/>
        <v>29</v>
      </c>
      <c r="U7" s="34">
        <f t="shared" si="3"/>
        <v>13096.774193548386</v>
      </c>
      <c r="V7" s="34">
        <f t="shared" ref="V7:V73" si="8">O7*10%</f>
        <v>40.5</v>
      </c>
      <c r="W7" s="34">
        <v>0</v>
      </c>
      <c r="X7" s="35">
        <f t="shared" si="4"/>
        <v>13137.274193548386</v>
      </c>
      <c r="Y7" s="34">
        <v>0</v>
      </c>
      <c r="Z7" s="34">
        <v>0</v>
      </c>
      <c r="AA7" s="35">
        <v>0</v>
      </c>
      <c r="AB7" s="35">
        <f t="shared" si="7"/>
        <v>13137.274193548386</v>
      </c>
      <c r="AC7" s="36">
        <v>0</v>
      </c>
      <c r="AD7" s="36">
        <v>0</v>
      </c>
      <c r="AE7" s="37">
        <v>0</v>
      </c>
      <c r="AF7" s="38">
        <v>0</v>
      </c>
      <c r="AG7" s="37"/>
      <c r="AH7" s="38"/>
      <c r="AI7" s="37">
        <v>0</v>
      </c>
      <c r="AJ7" s="39">
        <v>5500</v>
      </c>
      <c r="AK7" s="40">
        <v>2000</v>
      </c>
      <c r="AL7" s="40">
        <v>5500</v>
      </c>
      <c r="AM7" s="40">
        <v>4550</v>
      </c>
      <c r="AN7" s="40">
        <v>0</v>
      </c>
      <c r="AO7" s="40">
        <v>8100</v>
      </c>
      <c r="AP7" s="40">
        <v>701</v>
      </c>
      <c r="AQ7" s="40">
        <v>4600</v>
      </c>
      <c r="AR7" s="40">
        <v>1000</v>
      </c>
      <c r="AS7" s="40">
        <v>1000</v>
      </c>
      <c r="AT7" s="40">
        <v>0</v>
      </c>
      <c r="AU7" s="40">
        <v>0</v>
      </c>
      <c r="AV7" s="40">
        <v>0</v>
      </c>
      <c r="AW7" s="40">
        <v>500</v>
      </c>
      <c r="AX7" s="40">
        <v>250</v>
      </c>
      <c r="AY7" s="40">
        <v>1800</v>
      </c>
      <c r="AZ7" s="40">
        <v>18501</v>
      </c>
      <c r="BA7" s="40">
        <v>10000</v>
      </c>
      <c r="BB7" s="40">
        <v>0</v>
      </c>
      <c r="BC7" s="40">
        <v>2600</v>
      </c>
      <c r="BD7" s="40">
        <v>1501</v>
      </c>
      <c r="BE7" s="40">
        <v>7100</v>
      </c>
      <c r="BF7" s="40">
        <v>5200</v>
      </c>
      <c r="BG7" s="40">
        <v>5500</v>
      </c>
      <c r="BH7" s="40">
        <v>0</v>
      </c>
      <c r="BI7" s="40">
        <v>2251</v>
      </c>
      <c r="BJ7" s="40">
        <v>3000</v>
      </c>
      <c r="BK7" s="40">
        <v>2251</v>
      </c>
      <c r="BL7" s="40">
        <v>7000</v>
      </c>
      <c r="BM7" s="40">
        <v>0</v>
      </c>
      <c r="BN7" s="40">
        <v>0</v>
      </c>
    </row>
    <row r="8" spans="1:66" x14ac:dyDescent="0.25">
      <c r="A8" s="25" t="s">
        <v>55</v>
      </c>
      <c r="B8" s="25" t="s">
        <v>55</v>
      </c>
      <c r="C8" s="26" t="s">
        <v>37</v>
      </c>
      <c r="D8" s="25" t="s">
        <v>38</v>
      </c>
      <c r="E8" s="27">
        <v>43022010000944</v>
      </c>
      <c r="F8" s="26" t="s">
        <v>56</v>
      </c>
      <c r="G8" s="28">
        <v>46192</v>
      </c>
      <c r="H8" s="29">
        <v>16000</v>
      </c>
      <c r="I8" s="30">
        <v>350000</v>
      </c>
      <c r="J8" s="30">
        <v>350000</v>
      </c>
      <c r="K8" s="30">
        <f t="shared" si="1"/>
        <v>358844</v>
      </c>
      <c r="L8" s="31">
        <v>354843</v>
      </c>
      <c r="M8" s="30">
        <v>3001</v>
      </c>
      <c r="N8" s="30">
        <v>1000</v>
      </c>
      <c r="O8" s="44">
        <f t="shared" si="5"/>
        <v>8844</v>
      </c>
      <c r="P8" s="32">
        <f t="shared" si="2"/>
        <v>102.52685714285714</v>
      </c>
      <c r="Q8" s="33">
        <v>31</v>
      </c>
      <c r="R8" s="33">
        <v>0</v>
      </c>
      <c r="S8" s="33">
        <v>0</v>
      </c>
      <c r="T8" s="29">
        <f t="shared" si="6"/>
        <v>31</v>
      </c>
      <c r="U8" s="34">
        <f t="shared" si="3"/>
        <v>16000</v>
      </c>
      <c r="V8" s="34">
        <f t="shared" si="8"/>
        <v>884.40000000000009</v>
      </c>
      <c r="W8" s="34">
        <v>0</v>
      </c>
      <c r="X8" s="35">
        <f t="shared" si="4"/>
        <v>16884.400000000001</v>
      </c>
      <c r="Y8" s="34">
        <v>0</v>
      </c>
      <c r="Z8" s="34">
        <v>0</v>
      </c>
      <c r="AA8" s="35">
        <v>0</v>
      </c>
      <c r="AB8" s="35">
        <f t="shared" si="7"/>
        <v>16884.400000000001</v>
      </c>
      <c r="AC8" s="36">
        <v>0</v>
      </c>
      <c r="AD8" s="36">
        <v>0</v>
      </c>
      <c r="AE8" s="37">
        <v>0</v>
      </c>
      <c r="AF8" s="38">
        <v>0</v>
      </c>
      <c r="AG8" s="37"/>
      <c r="AH8" s="38"/>
      <c r="AI8" s="37">
        <v>0</v>
      </c>
      <c r="AJ8" s="39">
        <v>33802</v>
      </c>
      <c r="AK8" s="40">
        <v>38552</v>
      </c>
      <c r="AL8" s="40">
        <v>22001</v>
      </c>
      <c r="AM8" s="40">
        <v>24500</v>
      </c>
      <c r="AN8" s="40">
        <v>0</v>
      </c>
      <c r="AO8" s="40">
        <v>13500</v>
      </c>
      <c r="AP8" s="40">
        <v>0</v>
      </c>
      <c r="AQ8" s="40">
        <v>14500</v>
      </c>
      <c r="AR8" s="40">
        <v>10000</v>
      </c>
      <c r="AS8" s="40">
        <v>1001</v>
      </c>
      <c r="AT8" s="40">
        <v>5000</v>
      </c>
      <c r="AU8" s="40">
        <v>5000</v>
      </c>
      <c r="AV8" s="40">
        <v>13000</v>
      </c>
      <c r="AW8" s="40">
        <v>6851</v>
      </c>
      <c r="AX8" s="40">
        <v>6251</v>
      </c>
      <c r="AY8" s="40">
        <v>3111</v>
      </c>
      <c r="AZ8" s="40">
        <v>7000</v>
      </c>
      <c r="BA8" s="40">
        <v>1500</v>
      </c>
      <c r="BB8" s="40">
        <v>2100</v>
      </c>
      <c r="BC8" s="40">
        <v>16100</v>
      </c>
      <c r="BD8" s="40">
        <v>11901</v>
      </c>
      <c r="BE8" s="40">
        <v>0</v>
      </c>
      <c r="BF8" s="40">
        <v>8801</v>
      </c>
      <c r="BG8" s="40">
        <v>15250</v>
      </c>
      <c r="BH8" s="40">
        <v>13602</v>
      </c>
      <c r="BI8" s="40">
        <v>13116</v>
      </c>
      <c r="BJ8" s="40">
        <v>11850</v>
      </c>
      <c r="BK8" s="40">
        <v>21601</v>
      </c>
      <c r="BL8" s="40">
        <v>15452</v>
      </c>
      <c r="BM8" s="40">
        <v>17601</v>
      </c>
      <c r="BN8" s="40">
        <v>5901</v>
      </c>
    </row>
    <row r="9" spans="1:66" x14ac:dyDescent="0.25">
      <c r="A9" s="25" t="s">
        <v>57</v>
      </c>
      <c r="B9" s="41" t="s">
        <v>58</v>
      </c>
      <c r="C9" s="42" t="s">
        <v>59</v>
      </c>
      <c r="D9" s="41" t="s">
        <v>38</v>
      </c>
      <c r="E9" s="43">
        <v>601302010002636</v>
      </c>
      <c r="F9" s="26" t="s">
        <v>60</v>
      </c>
      <c r="G9" s="28">
        <v>45153</v>
      </c>
      <c r="H9" s="29">
        <v>16000</v>
      </c>
      <c r="I9" s="30">
        <v>180000</v>
      </c>
      <c r="J9" s="30">
        <v>200000</v>
      </c>
      <c r="K9" s="30">
        <f t="shared" si="1"/>
        <v>90946</v>
      </c>
      <c r="L9" s="31">
        <v>88446</v>
      </c>
      <c r="M9" s="30">
        <v>0</v>
      </c>
      <c r="N9" s="30">
        <v>2500</v>
      </c>
      <c r="O9" s="30">
        <f t="shared" si="5"/>
        <v>-109054</v>
      </c>
      <c r="P9" s="32">
        <f t="shared" si="2"/>
        <v>50.525555555555556</v>
      </c>
      <c r="Q9" s="33">
        <v>31</v>
      </c>
      <c r="R9" s="33">
        <v>0</v>
      </c>
      <c r="S9" s="33">
        <v>0</v>
      </c>
      <c r="T9" s="29">
        <f t="shared" si="6"/>
        <v>31</v>
      </c>
      <c r="U9" s="34">
        <f t="shared" si="3"/>
        <v>16000</v>
      </c>
      <c r="V9" s="34"/>
      <c r="W9" s="34">
        <v>0</v>
      </c>
      <c r="X9" s="35">
        <f t="shared" si="4"/>
        <v>16000</v>
      </c>
      <c r="Y9" s="34">
        <v>0</v>
      </c>
      <c r="Z9" s="34">
        <v>0</v>
      </c>
      <c r="AA9" s="35">
        <v>0</v>
      </c>
      <c r="AB9" s="35">
        <f t="shared" si="7"/>
        <v>16000</v>
      </c>
      <c r="AC9" s="36">
        <v>0</v>
      </c>
      <c r="AD9" s="36">
        <v>0</v>
      </c>
      <c r="AE9" s="37">
        <v>0</v>
      </c>
      <c r="AF9" s="38">
        <v>0</v>
      </c>
      <c r="AG9" s="37"/>
      <c r="AH9" s="38"/>
      <c r="AI9" s="37">
        <v>0</v>
      </c>
      <c r="AJ9" s="39">
        <v>9600</v>
      </c>
      <c r="AK9" s="40">
        <v>5620</v>
      </c>
      <c r="AL9" s="40">
        <v>9456</v>
      </c>
      <c r="AM9" s="40">
        <v>5305</v>
      </c>
      <c r="AN9" s="40">
        <v>0</v>
      </c>
      <c r="AO9" s="40">
        <v>8402</v>
      </c>
      <c r="AP9" s="40">
        <v>6201</v>
      </c>
      <c r="AQ9" s="40">
        <v>4620</v>
      </c>
      <c r="AR9" s="40">
        <v>4401</v>
      </c>
      <c r="AS9" s="40">
        <v>2001</v>
      </c>
      <c r="AT9" s="40">
        <v>2151</v>
      </c>
      <c r="AU9" s="40">
        <v>251</v>
      </c>
      <c r="AV9" s="40">
        <v>150</v>
      </c>
      <c r="AW9" s="40">
        <v>6601</v>
      </c>
      <c r="AX9" s="40">
        <v>6201</v>
      </c>
      <c r="AY9" s="40">
        <v>851</v>
      </c>
      <c r="AZ9" s="40">
        <v>1150</v>
      </c>
      <c r="BA9" s="40">
        <v>2600</v>
      </c>
      <c r="BB9" s="40">
        <v>10</v>
      </c>
      <c r="BC9" s="40">
        <v>0</v>
      </c>
      <c r="BD9" s="40">
        <v>3200</v>
      </c>
      <c r="BE9" s="40">
        <v>1152</v>
      </c>
      <c r="BF9" s="40">
        <v>1951</v>
      </c>
      <c r="BG9" s="40">
        <v>501</v>
      </c>
      <c r="BH9" s="40">
        <v>6351</v>
      </c>
      <c r="BI9" s="40">
        <v>0</v>
      </c>
      <c r="BJ9" s="40">
        <v>150</v>
      </c>
      <c r="BK9" s="40">
        <v>1200</v>
      </c>
      <c r="BL9" s="40">
        <v>120</v>
      </c>
      <c r="BM9" s="40">
        <v>600</v>
      </c>
      <c r="BN9" s="40">
        <v>150</v>
      </c>
    </row>
    <row r="10" spans="1:66" x14ac:dyDescent="0.25">
      <c r="A10" s="25" t="s">
        <v>61</v>
      </c>
      <c r="B10" s="41" t="s">
        <v>62</v>
      </c>
      <c r="C10" s="42" t="s">
        <v>53</v>
      </c>
      <c r="D10" s="41" t="s">
        <v>38</v>
      </c>
      <c r="E10" s="43">
        <v>4915020100003170</v>
      </c>
      <c r="F10" s="26" t="s">
        <v>63</v>
      </c>
      <c r="G10" s="28">
        <v>45139</v>
      </c>
      <c r="H10" s="29">
        <v>16000</v>
      </c>
      <c r="I10" s="30">
        <v>150000</v>
      </c>
      <c r="J10" s="30">
        <v>150000</v>
      </c>
      <c r="K10" s="30">
        <f t="shared" si="1"/>
        <v>40505</v>
      </c>
      <c r="L10" s="31">
        <v>32653</v>
      </c>
      <c r="M10" s="30">
        <v>1500</v>
      </c>
      <c r="N10" s="30">
        <v>6352</v>
      </c>
      <c r="O10" s="30">
        <f t="shared" si="5"/>
        <v>-109495</v>
      </c>
      <c r="P10" s="32">
        <f t="shared" si="2"/>
        <v>27.003333333333334</v>
      </c>
      <c r="Q10" s="33">
        <v>14.5</v>
      </c>
      <c r="R10" s="33">
        <v>0</v>
      </c>
      <c r="S10" s="33">
        <v>0</v>
      </c>
      <c r="T10" s="29">
        <f t="shared" si="6"/>
        <v>14.5</v>
      </c>
      <c r="U10" s="34">
        <f t="shared" si="3"/>
        <v>7483.8709677419356</v>
      </c>
      <c r="V10" s="34"/>
      <c r="W10" s="34">
        <v>0</v>
      </c>
      <c r="X10" s="35">
        <f t="shared" si="4"/>
        <v>7483.8709677419356</v>
      </c>
      <c r="Y10" s="34">
        <v>0</v>
      </c>
      <c r="Z10" s="34">
        <v>0</v>
      </c>
      <c r="AA10" s="35">
        <v>0</v>
      </c>
      <c r="AB10" s="35">
        <f t="shared" si="7"/>
        <v>7483.8709677419356</v>
      </c>
      <c r="AC10" s="36">
        <v>0</v>
      </c>
      <c r="AD10" s="36">
        <v>0</v>
      </c>
      <c r="AE10" s="37">
        <v>0</v>
      </c>
      <c r="AF10" s="38">
        <v>0</v>
      </c>
      <c r="AG10" s="37"/>
      <c r="AH10" s="38"/>
      <c r="AI10" s="37">
        <v>0</v>
      </c>
      <c r="AJ10" s="39">
        <v>2100</v>
      </c>
      <c r="AK10" s="40">
        <v>5650</v>
      </c>
      <c r="AL10" s="40">
        <v>200</v>
      </c>
      <c r="AM10" s="40">
        <v>1000</v>
      </c>
      <c r="AN10" s="40">
        <v>0</v>
      </c>
      <c r="AO10" s="40">
        <v>0</v>
      </c>
      <c r="AP10" s="40">
        <v>0</v>
      </c>
      <c r="AQ10" s="40">
        <v>0</v>
      </c>
      <c r="AR10" s="40">
        <v>2450</v>
      </c>
      <c r="AS10" s="40">
        <v>5251</v>
      </c>
      <c r="AT10" s="40">
        <v>1902</v>
      </c>
      <c r="AU10" s="40">
        <v>0</v>
      </c>
      <c r="AV10" s="40">
        <v>3500</v>
      </c>
      <c r="AW10" s="40">
        <v>4751</v>
      </c>
      <c r="AX10" s="40">
        <v>0</v>
      </c>
      <c r="AY10" s="40">
        <v>201</v>
      </c>
      <c r="AZ10" s="40">
        <v>0</v>
      </c>
      <c r="BA10" s="40">
        <v>0</v>
      </c>
      <c r="BB10" s="40">
        <v>0</v>
      </c>
      <c r="BC10" s="40">
        <v>0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0</v>
      </c>
      <c r="BK10" s="40">
        <v>0</v>
      </c>
      <c r="BL10" s="40">
        <v>10500</v>
      </c>
      <c r="BM10" s="40">
        <v>0</v>
      </c>
      <c r="BN10" s="40">
        <v>3000</v>
      </c>
    </row>
    <row r="11" spans="1:66" x14ac:dyDescent="0.25">
      <c r="A11" s="25" t="s">
        <v>64</v>
      </c>
      <c r="B11" s="25" t="s">
        <v>64</v>
      </c>
      <c r="C11" s="26" t="s">
        <v>37</v>
      </c>
      <c r="D11" s="25" t="s">
        <v>65</v>
      </c>
      <c r="E11" s="27">
        <v>99720100021742</v>
      </c>
      <c r="F11" s="26" t="s">
        <v>54</v>
      </c>
      <c r="G11" s="28">
        <v>44405</v>
      </c>
      <c r="H11" s="29">
        <v>21000</v>
      </c>
      <c r="I11" s="30">
        <v>250000</v>
      </c>
      <c r="J11" s="30">
        <v>250000</v>
      </c>
      <c r="K11" s="30">
        <f t="shared" si="1"/>
        <v>201764</v>
      </c>
      <c r="L11" s="31">
        <v>175964</v>
      </c>
      <c r="M11" s="30">
        <v>0</v>
      </c>
      <c r="N11" s="30">
        <v>25800</v>
      </c>
      <c r="O11" s="30">
        <f t="shared" si="5"/>
        <v>-48236</v>
      </c>
      <c r="P11" s="32">
        <f t="shared" si="2"/>
        <v>80.705600000000004</v>
      </c>
      <c r="Q11" s="33">
        <v>29.5</v>
      </c>
      <c r="R11" s="33">
        <v>0</v>
      </c>
      <c r="S11" s="33">
        <v>0</v>
      </c>
      <c r="T11" s="29">
        <f t="shared" si="6"/>
        <v>29.5</v>
      </c>
      <c r="U11" s="34">
        <f t="shared" si="3"/>
        <v>19983.870967741936</v>
      </c>
      <c r="V11" s="34"/>
      <c r="W11" s="34">
        <v>0</v>
      </c>
      <c r="X11" s="35">
        <f t="shared" si="4"/>
        <v>19983.870967741936</v>
      </c>
      <c r="Y11" s="34">
        <v>0</v>
      </c>
      <c r="Z11" s="34">
        <v>0</v>
      </c>
      <c r="AA11" s="35">
        <v>0</v>
      </c>
      <c r="AB11" s="35">
        <f t="shared" si="7"/>
        <v>19983.870967741936</v>
      </c>
      <c r="AC11" s="36">
        <v>0</v>
      </c>
      <c r="AD11" s="36">
        <v>0</v>
      </c>
      <c r="AE11" s="37">
        <v>0</v>
      </c>
      <c r="AF11" s="38">
        <v>0</v>
      </c>
      <c r="AG11" s="37"/>
      <c r="AH11" s="38"/>
      <c r="AI11" s="37">
        <v>0</v>
      </c>
      <c r="AJ11" s="39">
        <v>12500</v>
      </c>
      <c r="AK11" s="40">
        <v>18500</v>
      </c>
      <c r="AL11" s="40">
        <v>9111</v>
      </c>
      <c r="AM11" s="40">
        <v>1500</v>
      </c>
      <c r="AN11" s="40">
        <v>0</v>
      </c>
      <c r="AO11" s="40">
        <v>14850</v>
      </c>
      <c r="AP11" s="40">
        <v>0</v>
      </c>
      <c r="AQ11" s="40">
        <v>7500</v>
      </c>
      <c r="AR11" s="40">
        <v>15000</v>
      </c>
      <c r="AS11" s="40">
        <v>500</v>
      </c>
      <c r="AT11" s="40">
        <v>8200</v>
      </c>
      <c r="AU11" s="40">
        <v>2500</v>
      </c>
      <c r="AV11" s="40">
        <v>9000</v>
      </c>
      <c r="AW11" s="40">
        <v>4702</v>
      </c>
      <c r="AX11" s="40">
        <v>1100</v>
      </c>
      <c r="AY11" s="40">
        <v>10500</v>
      </c>
      <c r="AZ11" s="40">
        <v>1001</v>
      </c>
      <c r="BA11" s="40">
        <v>1000</v>
      </c>
      <c r="BB11" s="40">
        <v>0</v>
      </c>
      <c r="BC11" s="40">
        <v>16600</v>
      </c>
      <c r="BD11" s="40">
        <v>7100</v>
      </c>
      <c r="BE11" s="40">
        <v>0</v>
      </c>
      <c r="BF11" s="40">
        <v>22000</v>
      </c>
      <c r="BG11" s="40">
        <v>0</v>
      </c>
      <c r="BH11" s="40">
        <v>1000</v>
      </c>
      <c r="BI11" s="40">
        <v>1100</v>
      </c>
      <c r="BJ11" s="40">
        <v>5000</v>
      </c>
      <c r="BK11" s="40">
        <v>2500</v>
      </c>
      <c r="BL11" s="40">
        <v>15000</v>
      </c>
      <c r="BM11" s="40">
        <v>11500</v>
      </c>
      <c r="BN11" s="40">
        <v>2500</v>
      </c>
    </row>
    <row r="12" spans="1:66" x14ac:dyDescent="0.25">
      <c r="A12" s="25" t="s">
        <v>66</v>
      </c>
      <c r="B12" s="25" t="s">
        <v>67</v>
      </c>
      <c r="C12" s="26" t="s">
        <v>37</v>
      </c>
      <c r="D12" s="25" t="s">
        <v>38</v>
      </c>
      <c r="E12" s="27">
        <v>491502010034758</v>
      </c>
      <c r="F12" s="26" t="s">
        <v>68</v>
      </c>
      <c r="G12" s="28">
        <v>45516</v>
      </c>
      <c r="H12" s="29">
        <v>13000</v>
      </c>
      <c r="I12" s="30">
        <v>85000</v>
      </c>
      <c r="J12" s="30">
        <v>65000</v>
      </c>
      <c r="K12" s="30">
        <f t="shared" si="1"/>
        <v>13204</v>
      </c>
      <c r="L12" s="31">
        <v>4202</v>
      </c>
      <c r="M12" s="30">
        <v>8452</v>
      </c>
      <c r="N12" s="30">
        <v>550</v>
      </c>
      <c r="O12" s="30">
        <f t="shared" si="5"/>
        <v>-51796</v>
      </c>
      <c r="P12" s="32">
        <f t="shared" si="2"/>
        <v>15.534117647058823</v>
      </c>
      <c r="Q12" s="33">
        <v>28</v>
      </c>
      <c r="R12" s="33">
        <v>0</v>
      </c>
      <c r="S12" s="33">
        <v>0</v>
      </c>
      <c r="T12" s="29">
        <f t="shared" si="6"/>
        <v>28</v>
      </c>
      <c r="U12" s="34">
        <f t="shared" si="3"/>
        <v>11741.935483870968</v>
      </c>
      <c r="V12" s="34"/>
      <c r="W12" s="34">
        <v>0</v>
      </c>
      <c r="X12" s="35">
        <f t="shared" si="4"/>
        <v>11741.935483870968</v>
      </c>
      <c r="Y12" s="34">
        <v>0</v>
      </c>
      <c r="Z12" s="34">
        <v>0</v>
      </c>
      <c r="AA12" s="35">
        <v>0</v>
      </c>
      <c r="AB12" s="35">
        <f t="shared" si="7"/>
        <v>11741.935483870968</v>
      </c>
      <c r="AC12" s="36">
        <v>0</v>
      </c>
      <c r="AD12" s="36">
        <v>0</v>
      </c>
      <c r="AE12" s="37">
        <v>0</v>
      </c>
      <c r="AF12" s="38">
        <v>0</v>
      </c>
      <c r="AG12" s="37"/>
      <c r="AH12" s="38"/>
      <c r="AI12" s="37">
        <v>0</v>
      </c>
      <c r="AJ12" s="39">
        <v>600</v>
      </c>
      <c r="AK12" s="40">
        <v>4550</v>
      </c>
      <c r="AL12" s="40">
        <v>2200</v>
      </c>
      <c r="AM12" s="40">
        <v>1251</v>
      </c>
      <c r="AN12" s="40">
        <v>0</v>
      </c>
      <c r="AO12" s="40">
        <v>0</v>
      </c>
      <c r="AP12" s="40">
        <v>0</v>
      </c>
      <c r="AQ12" s="40">
        <v>1000</v>
      </c>
      <c r="AR12" s="40">
        <v>0</v>
      </c>
      <c r="AS12" s="40">
        <v>0</v>
      </c>
      <c r="AT12" s="40">
        <v>1001</v>
      </c>
      <c r="AU12" s="40">
        <v>0</v>
      </c>
      <c r="AV12" s="40">
        <v>0</v>
      </c>
      <c r="AW12" s="40">
        <v>500</v>
      </c>
      <c r="AX12" s="40">
        <v>0</v>
      </c>
      <c r="AY12" s="40">
        <v>251</v>
      </c>
      <c r="AZ12" s="40">
        <v>0</v>
      </c>
      <c r="BA12" s="40">
        <v>0</v>
      </c>
      <c r="BB12" s="40">
        <v>0</v>
      </c>
      <c r="BC12" s="40">
        <v>0</v>
      </c>
      <c r="BD12" s="40">
        <v>251</v>
      </c>
      <c r="BE12" s="40">
        <v>1100</v>
      </c>
      <c r="BF12" s="40">
        <v>0</v>
      </c>
      <c r="BG12" s="40">
        <v>500</v>
      </c>
      <c r="BH12" s="40">
        <v>0</v>
      </c>
      <c r="BI12" s="40">
        <v>0</v>
      </c>
      <c r="BJ12" s="40">
        <v>0</v>
      </c>
      <c r="BK12" s="40">
        <v>0</v>
      </c>
      <c r="BL12" s="40">
        <v>0</v>
      </c>
      <c r="BM12" s="40">
        <v>0</v>
      </c>
      <c r="BN12" s="40">
        <v>0</v>
      </c>
    </row>
    <row r="13" spans="1:66" x14ac:dyDescent="0.25">
      <c r="A13" s="25" t="s">
        <v>69</v>
      </c>
      <c r="B13" s="25" t="s">
        <v>69</v>
      </c>
      <c r="C13" s="26" t="s">
        <v>37</v>
      </c>
      <c r="D13" s="25" t="s">
        <v>70</v>
      </c>
      <c r="E13" s="27">
        <v>60398873178</v>
      </c>
      <c r="F13" s="26" t="s">
        <v>71</v>
      </c>
      <c r="G13" s="28">
        <v>45842</v>
      </c>
      <c r="H13" s="29">
        <v>16000</v>
      </c>
      <c r="I13" s="30">
        <v>100000</v>
      </c>
      <c r="J13" s="30">
        <v>45000</v>
      </c>
      <c r="K13" s="30">
        <f t="shared" si="1"/>
        <v>47883</v>
      </c>
      <c r="L13" s="31">
        <v>32231</v>
      </c>
      <c r="M13" s="30">
        <v>10201</v>
      </c>
      <c r="N13" s="30">
        <v>5451</v>
      </c>
      <c r="O13" s="44">
        <f t="shared" si="5"/>
        <v>2883</v>
      </c>
      <c r="P13" s="32">
        <f t="shared" si="2"/>
        <v>47.883000000000003</v>
      </c>
      <c r="Q13" s="33">
        <v>27</v>
      </c>
      <c r="R13" s="33">
        <v>0</v>
      </c>
      <c r="S13" s="33">
        <v>0</v>
      </c>
      <c r="T13" s="29">
        <f t="shared" si="6"/>
        <v>27</v>
      </c>
      <c r="U13" s="34">
        <f t="shared" si="3"/>
        <v>13935.483870967742</v>
      </c>
      <c r="V13" s="34">
        <f t="shared" si="8"/>
        <v>288.3</v>
      </c>
      <c r="W13" s="34">
        <v>0</v>
      </c>
      <c r="X13" s="35">
        <f t="shared" si="4"/>
        <v>14223.783870967742</v>
      </c>
      <c r="Y13" s="34">
        <v>0</v>
      </c>
      <c r="Z13" s="34">
        <v>0</v>
      </c>
      <c r="AA13" s="35">
        <v>0</v>
      </c>
      <c r="AB13" s="35">
        <f t="shared" si="7"/>
        <v>14223.783870967742</v>
      </c>
      <c r="AC13" s="36">
        <v>0</v>
      </c>
      <c r="AD13" s="36">
        <v>0</v>
      </c>
      <c r="AE13" s="37">
        <v>0</v>
      </c>
      <c r="AF13" s="38">
        <v>0</v>
      </c>
      <c r="AG13" s="37"/>
      <c r="AH13" s="38"/>
      <c r="AI13" s="37">
        <v>0</v>
      </c>
      <c r="AJ13" s="39">
        <v>2700</v>
      </c>
      <c r="AK13" s="40">
        <v>200</v>
      </c>
      <c r="AL13" s="40">
        <v>1000</v>
      </c>
      <c r="AM13" s="40">
        <v>500</v>
      </c>
      <c r="AN13" s="40">
        <v>500</v>
      </c>
      <c r="AO13" s="40">
        <v>2400</v>
      </c>
      <c r="AP13" s="40">
        <v>1100</v>
      </c>
      <c r="AQ13" s="40">
        <v>500</v>
      </c>
      <c r="AR13" s="40">
        <v>2600</v>
      </c>
      <c r="AS13" s="40">
        <v>2600</v>
      </c>
      <c r="AT13" s="40">
        <v>2201</v>
      </c>
      <c r="AU13" s="40">
        <v>0</v>
      </c>
      <c r="AV13" s="40">
        <v>1001</v>
      </c>
      <c r="AW13" s="40">
        <v>3250</v>
      </c>
      <c r="AX13" s="40">
        <v>4000</v>
      </c>
      <c r="AY13" s="40">
        <v>0</v>
      </c>
      <c r="AZ13" s="40">
        <v>0</v>
      </c>
      <c r="BA13" s="40">
        <v>1450</v>
      </c>
      <c r="BB13" s="40">
        <v>0</v>
      </c>
      <c r="BC13" s="40">
        <v>1000</v>
      </c>
      <c r="BD13" s="40">
        <v>0</v>
      </c>
      <c r="BE13" s="40">
        <v>1450</v>
      </c>
      <c r="BF13" s="40">
        <v>1250</v>
      </c>
      <c r="BG13" s="40">
        <v>2376</v>
      </c>
      <c r="BH13" s="40">
        <v>500</v>
      </c>
      <c r="BI13" s="40">
        <v>0</v>
      </c>
      <c r="BJ13" s="40">
        <v>251</v>
      </c>
      <c r="BK13" s="40">
        <v>501</v>
      </c>
      <c r="BL13" s="40">
        <v>2701</v>
      </c>
      <c r="BM13" s="40">
        <v>4351</v>
      </c>
      <c r="BN13" s="40">
        <v>7501</v>
      </c>
    </row>
    <row r="14" spans="1:66" x14ac:dyDescent="0.25">
      <c r="A14" s="45" t="s">
        <v>72</v>
      </c>
      <c r="B14" s="25" t="s">
        <v>73</v>
      </c>
      <c r="C14" s="26" t="s">
        <v>37</v>
      </c>
      <c r="D14" s="25" t="s">
        <v>38</v>
      </c>
      <c r="E14" s="27">
        <v>38440210000796</v>
      </c>
      <c r="F14" s="26" t="s">
        <v>74</v>
      </c>
      <c r="G14" s="28">
        <v>45287</v>
      </c>
      <c r="H14" s="29">
        <v>15000</v>
      </c>
      <c r="I14" s="30">
        <v>65000</v>
      </c>
      <c r="J14" s="30">
        <v>65000</v>
      </c>
      <c r="K14" s="30">
        <f t="shared" si="1"/>
        <v>24012</v>
      </c>
      <c r="L14" s="31">
        <v>0</v>
      </c>
      <c r="M14" s="30">
        <v>24012</v>
      </c>
      <c r="N14" s="30">
        <v>0</v>
      </c>
      <c r="O14" s="30">
        <f t="shared" si="5"/>
        <v>-40988</v>
      </c>
      <c r="P14" s="32">
        <f t="shared" si="2"/>
        <v>36.941538461538464</v>
      </c>
      <c r="Q14" s="33">
        <v>21</v>
      </c>
      <c r="R14" s="33">
        <v>0</v>
      </c>
      <c r="S14" s="33">
        <v>0</v>
      </c>
      <c r="T14" s="29">
        <f t="shared" si="6"/>
        <v>21</v>
      </c>
      <c r="U14" s="34">
        <f t="shared" si="3"/>
        <v>10161.290322580646</v>
      </c>
      <c r="V14" s="34"/>
      <c r="W14" s="34">
        <v>0</v>
      </c>
      <c r="X14" s="35">
        <f t="shared" si="4"/>
        <v>10161.290322580646</v>
      </c>
      <c r="Y14" s="34">
        <v>0</v>
      </c>
      <c r="Z14" s="34">
        <v>0</v>
      </c>
      <c r="AA14" s="35">
        <v>0</v>
      </c>
      <c r="AB14" s="35">
        <f t="shared" si="7"/>
        <v>10161.290322580646</v>
      </c>
      <c r="AC14" s="36">
        <v>0</v>
      </c>
      <c r="AD14" s="36">
        <v>0</v>
      </c>
      <c r="AE14" s="37">
        <v>0</v>
      </c>
      <c r="AF14" s="38">
        <v>0</v>
      </c>
      <c r="AG14" s="37"/>
      <c r="AH14" s="38"/>
      <c r="AI14" s="37">
        <v>0</v>
      </c>
      <c r="AJ14" s="39"/>
      <c r="AK14" s="40">
        <v>2500</v>
      </c>
      <c r="AL14" s="40">
        <v>2550</v>
      </c>
      <c r="AM14" s="40"/>
      <c r="AN14" s="40">
        <v>300</v>
      </c>
      <c r="AO14" s="40">
        <v>4650</v>
      </c>
      <c r="AP14" s="40">
        <v>250</v>
      </c>
      <c r="AQ14" s="40">
        <v>250</v>
      </c>
      <c r="AR14" s="40">
        <v>2500</v>
      </c>
      <c r="AS14" s="40"/>
      <c r="AT14" s="40">
        <v>250</v>
      </c>
      <c r="AU14" s="40"/>
      <c r="AV14" s="40"/>
      <c r="AW14" s="40">
        <v>2411</v>
      </c>
      <c r="AX14" s="40">
        <v>251</v>
      </c>
      <c r="AY14" s="40">
        <v>1000</v>
      </c>
      <c r="AZ14" s="40">
        <v>600</v>
      </c>
      <c r="BA14" s="40"/>
      <c r="BB14" s="40"/>
      <c r="BC14" s="40">
        <v>1000</v>
      </c>
      <c r="BD14" s="40">
        <v>500</v>
      </c>
      <c r="BE14" s="40"/>
      <c r="BF14" s="40">
        <v>1000</v>
      </c>
      <c r="BG14" s="40">
        <v>2500</v>
      </c>
      <c r="BH14" s="40">
        <v>1500</v>
      </c>
      <c r="BI14" s="40">
        <v>0</v>
      </c>
      <c r="BJ14" s="40">
        <v>0</v>
      </c>
      <c r="BK14" s="40">
        <v>0</v>
      </c>
      <c r="BL14" s="40">
        <v>0</v>
      </c>
      <c r="BM14" s="40">
        <v>0</v>
      </c>
      <c r="BN14" s="40">
        <v>0</v>
      </c>
    </row>
    <row r="15" spans="1:66" s="24" customFormat="1" x14ac:dyDescent="0.25">
      <c r="A15" s="17" t="s">
        <v>75</v>
      </c>
      <c r="B15" s="17"/>
      <c r="C15" s="18"/>
      <c r="D15" s="17"/>
      <c r="E15" s="19"/>
      <c r="F15" s="18"/>
      <c r="G15" s="20"/>
      <c r="H15" s="22">
        <f>SUM(H16:H20)</f>
        <v>72000</v>
      </c>
      <c r="I15" s="22">
        <f t="shared" ref="I15:BN15" si="9">SUM(I16:I20)</f>
        <v>435000</v>
      </c>
      <c r="J15" s="22">
        <f t="shared" si="9"/>
        <v>550000</v>
      </c>
      <c r="K15" s="22">
        <f t="shared" si="9"/>
        <v>414939</v>
      </c>
      <c r="L15" s="22">
        <f t="shared" si="9"/>
        <v>138127</v>
      </c>
      <c r="M15" s="22">
        <f t="shared" si="9"/>
        <v>191312</v>
      </c>
      <c r="N15" s="22">
        <f t="shared" si="9"/>
        <v>85500</v>
      </c>
      <c r="O15" s="22">
        <f t="shared" si="5"/>
        <v>-135061</v>
      </c>
      <c r="P15" s="22">
        <f t="shared" si="9"/>
        <v>450.90698717948715</v>
      </c>
      <c r="Q15" s="22">
        <f t="shared" si="9"/>
        <v>133.5</v>
      </c>
      <c r="R15" s="22">
        <f t="shared" si="9"/>
        <v>0</v>
      </c>
      <c r="S15" s="22">
        <f t="shared" si="9"/>
        <v>0</v>
      </c>
      <c r="T15" s="22">
        <f t="shared" si="9"/>
        <v>133.5</v>
      </c>
      <c r="U15" s="22">
        <f t="shared" si="9"/>
        <v>61887.096774193553</v>
      </c>
      <c r="V15" s="22">
        <f t="shared" si="9"/>
        <v>677.6</v>
      </c>
      <c r="W15" s="22">
        <f t="shared" si="9"/>
        <v>0</v>
      </c>
      <c r="X15" s="22">
        <f t="shared" si="9"/>
        <v>62564.696774193551</v>
      </c>
      <c r="Y15" s="22">
        <f t="shared" si="9"/>
        <v>0</v>
      </c>
      <c r="Z15" s="22">
        <f t="shared" si="9"/>
        <v>0</v>
      </c>
      <c r="AA15" s="22">
        <f t="shared" si="9"/>
        <v>0</v>
      </c>
      <c r="AB15" s="22">
        <f t="shared" si="7"/>
        <v>62564.696774193551</v>
      </c>
      <c r="AC15" s="22">
        <f t="shared" si="9"/>
        <v>0</v>
      </c>
      <c r="AD15" s="22">
        <f t="shared" si="9"/>
        <v>0</v>
      </c>
      <c r="AE15" s="22">
        <f t="shared" si="9"/>
        <v>0</v>
      </c>
      <c r="AF15" s="22">
        <f t="shared" si="9"/>
        <v>0</v>
      </c>
      <c r="AG15" s="22">
        <f t="shared" si="9"/>
        <v>0</v>
      </c>
      <c r="AH15" s="22">
        <f t="shared" si="9"/>
        <v>0</v>
      </c>
      <c r="AI15" s="22">
        <f t="shared" si="9"/>
        <v>0</v>
      </c>
      <c r="AJ15" s="22">
        <f t="shared" si="9"/>
        <v>10800</v>
      </c>
      <c r="AK15" s="22">
        <f t="shared" si="9"/>
        <v>28550</v>
      </c>
      <c r="AL15" s="22">
        <f t="shared" si="9"/>
        <v>11850</v>
      </c>
      <c r="AM15" s="22">
        <f t="shared" si="9"/>
        <v>17001</v>
      </c>
      <c r="AN15" s="22">
        <f t="shared" si="9"/>
        <v>0</v>
      </c>
      <c r="AO15" s="22">
        <f t="shared" si="9"/>
        <v>5500</v>
      </c>
      <c r="AP15" s="22">
        <f t="shared" si="9"/>
        <v>16951</v>
      </c>
      <c r="AQ15" s="22">
        <f t="shared" si="9"/>
        <v>11200</v>
      </c>
      <c r="AR15" s="22">
        <f t="shared" si="9"/>
        <v>48750</v>
      </c>
      <c r="AS15" s="22">
        <f t="shared" si="9"/>
        <v>12201</v>
      </c>
      <c r="AT15" s="22">
        <f t="shared" si="9"/>
        <v>9862</v>
      </c>
      <c r="AU15" s="22">
        <f t="shared" si="9"/>
        <v>0</v>
      </c>
      <c r="AV15" s="22">
        <f t="shared" si="9"/>
        <v>6000</v>
      </c>
      <c r="AW15" s="22">
        <f t="shared" si="9"/>
        <v>6100</v>
      </c>
      <c r="AX15" s="22">
        <f t="shared" si="9"/>
        <v>6800</v>
      </c>
      <c r="AY15" s="22">
        <f t="shared" si="9"/>
        <v>6500</v>
      </c>
      <c r="AZ15" s="22">
        <f t="shared" si="9"/>
        <v>13050</v>
      </c>
      <c r="BA15" s="22">
        <f t="shared" si="9"/>
        <v>1100</v>
      </c>
      <c r="BB15" s="22">
        <f t="shared" si="9"/>
        <v>0</v>
      </c>
      <c r="BC15" s="22">
        <f t="shared" si="9"/>
        <v>1000</v>
      </c>
      <c r="BD15" s="22">
        <f t="shared" si="9"/>
        <v>17651</v>
      </c>
      <c r="BE15" s="22">
        <f t="shared" si="9"/>
        <v>12561</v>
      </c>
      <c r="BF15" s="22">
        <f t="shared" si="9"/>
        <v>23402</v>
      </c>
      <c r="BG15" s="22">
        <f t="shared" si="9"/>
        <v>10002</v>
      </c>
      <c r="BH15" s="22">
        <f t="shared" si="9"/>
        <v>24750</v>
      </c>
      <c r="BI15" s="22">
        <f t="shared" si="9"/>
        <v>5401</v>
      </c>
      <c r="BJ15" s="22">
        <f t="shared" si="9"/>
        <v>34100</v>
      </c>
      <c r="BK15" s="22">
        <f t="shared" si="9"/>
        <v>4000</v>
      </c>
      <c r="BL15" s="22">
        <f t="shared" si="9"/>
        <v>22356</v>
      </c>
      <c r="BM15" s="22">
        <f t="shared" si="9"/>
        <v>25000</v>
      </c>
      <c r="BN15" s="22">
        <f t="shared" si="9"/>
        <v>22501</v>
      </c>
    </row>
    <row r="16" spans="1:66" x14ac:dyDescent="0.25">
      <c r="A16" s="25" t="s">
        <v>76</v>
      </c>
      <c r="B16" s="25" t="s">
        <v>76</v>
      </c>
      <c r="C16" s="26" t="s">
        <v>37</v>
      </c>
      <c r="D16" s="25" t="s">
        <v>77</v>
      </c>
      <c r="E16" s="27">
        <v>25230100017067</v>
      </c>
      <c r="F16" s="26" t="s">
        <v>74</v>
      </c>
      <c r="G16" s="28">
        <v>46064</v>
      </c>
      <c r="H16" s="29">
        <v>15000</v>
      </c>
      <c r="I16" s="30">
        <v>65000</v>
      </c>
      <c r="J16" s="30">
        <v>75000</v>
      </c>
      <c r="K16" s="30">
        <f t="shared" ref="K16:K19" si="10">SUM(AJ16:BN16)</f>
        <v>81267</v>
      </c>
      <c r="L16" s="31">
        <v>15164</v>
      </c>
      <c r="M16" s="30">
        <v>57303</v>
      </c>
      <c r="N16" s="30">
        <v>8800</v>
      </c>
      <c r="O16" s="44">
        <f t="shared" si="5"/>
        <v>6267</v>
      </c>
      <c r="P16" s="32">
        <f t="shared" ref="P16:P20" si="11">K16*100/I16</f>
        <v>125.02615384615385</v>
      </c>
      <c r="Q16" s="33">
        <v>26.5</v>
      </c>
      <c r="R16" s="33">
        <v>0</v>
      </c>
      <c r="S16" s="33">
        <v>0</v>
      </c>
      <c r="T16" s="29">
        <f t="shared" si="6"/>
        <v>26.5</v>
      </c>
      <c r="U16" s="34">
        <f t="shared" ref="U16:U20" si="12">H16*T16/31</f>
        <v>12822.58064516129</v>
      </c>
      <c r="V16" s="34">
        <f t="shared" si="8"/>
        <v>626.70000000000005</v>
      </c>
      <c r="W16" s="34">
        <v>0</v>
      </c>
      <c r="X16" s="35">
        <f t="shared" ref="X16:X19" si="13">SUM(U16:W16)</f>
        <v>13449.280645161291</v>
      </c>
      <c r="Y16" s="34">
        <v>0</v>
      </c>
      <c r="Z16" s="34">
        <v>0</v>
      </c>
      <c r="AA16" s="35">
        <v>0</v>
      </c>
      <c r="AB16" s="35">
        <f t="shared" si="7"/>
        <v>13449.280645161291</v>
      </c>
      <c r="AC16" s="36">
        <v>0</v>
      </c>
      <c r="AD16" s="36">
        <v>0</v>
      </c>
      <c r="AE16" s="37">
        <v>0</v>
      </c>
      <c r="AF16" s="38">
        <v>0</v>
      </c>
      <c r="AG16" s="37"/>
      <c r="AH16" s="38"/>
      <c r="AI16" s="37">
        <v>0</v>
      </c>
      <c r="AJ16" s="39">
        <v>2100</v>
      </c>
      <c r="AK16" s="40">
        <v>7200</v>
      </c>
      <c r="AL16" s="40">
        <v>5600</v>
      </c>
      <c r="AM16" s="40">
        <v>3251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901</v>
      </c>
      <c r="AT16" s="40">
        <v>3300</v>
      </c>
      <c r="AU16" s="40">
        <v>0</v>
      </c>
      <c r="AV16" s="40">
        <v>4000</v>
      </c>
      <c r="AW16" s="40">
        <v>3000</v>
      </c>
      <c r="AX16" s="40">
        <v>0</v>
      </c>
      <c r="AY16" s="40">
        <v>0</v>
      </c>
      <c r="AZ16" s="40">
        <v>7100</v>
      </c>
      <c r="BA16" s="40">
        <v>0</v>
      </c>
      <c r="BB16" s="40">
        <v>0</v>
      </c>
      <c r="BC16" s="40">
        <v>1000</v>
      </c>
      <c r="BD16" s="40">
        <v>11000</v>
      </c>
      <c r="BE16" s="40">
        <v>311</v>
      </c>
      <c r="BF16" s="40">
        <v>2751</v>
      </c>
      <c r="BG16" s="40">
        <v>10002</v>
      </c>
      <c r="BH16" s="40">
        <v>500</v>
      </c>
      <c r="BI16" s="40">
        <v>400</v>
      </c>
      <c r="BJ16" s="40">
        <v>15500</v>
      </c>
      <c r="BK16" s="40">
        <v>0</v>
      </c>
      <c r="BL16" s="40">
        <v>1851</v>
      </c>
      <c r="BM16" s="40">
        <v>1500</v>
      </c>
      <c r="BN16" s="40">
        <v>0</v>
      </c>
    </row>
    <row r="17" spans="1:66" x14ac:dyDescent="0.25">
      <c r="A17" s="25" t="s">
        <v>78</v>
      </c>
      <c r="B17" s="25" t="s">
        <v>78</v>
      </c>
      <c r="C17" s="26" t="s">
        <v>37</v>
      </c>
      <c r="D17" s="25" t="s">
        <v>79</v>
      </c>
      <c r="E17" s="27">
        <v>9310110013229</v>
      </c>
      <c r="F17" s="26" t="s">
        <v>80</v>
      </c>
      <c r="G17" s="28">
        <v>44983</v>
      </c>
      <c r="H17" s="29">
        <v>18000</v>
      </c>
      <c r="I17" s="30">
        <v>200000</v>
      </c>
      <c r="J17" s="30">
        <v>250000</v>
      </c>
      <c r="K17" s="30">
        <f t="shared" si="10"/>
        <v>133850</v>
      </c>
      <c r="L17" s="31">
        <v>70250</v>
      </c>
      <c r="M17" s="30">
        <v>4500</v>
      </c>
      <c r="N17" s="30">
        <v>59100</v>
      </c>
      <c r="O17" s="30">
        <f t="shared" si="5"/>
        <v>-116150</v>
      </c>
      <c r="P17" s="32">
        <f t="shared" si="11"/>
        <v>66.924999999999997</v>
      </c>
      <c r="Q17" s="33">
        <v>21.5</v>
      </c>
      <c r="R17" s="33">
        <v>0</v>
      </c>
      <c r="S17" s="33">
        <v>0</v>
      </c>
      <c r="T17" s="29">
        <f t="shared" si="6"/>
        <v>21.5</v>
      </c>
      <c r="U17" s="34">
        <f t="shared" si="12"/>
        <v>12483.870967741936</v>
      </c>
      <c r="V17" s="34">
        <v>0</v>
      </c>
      <c r="W17" s="34">
        <v>0</v>
      </c>
      <c r="X17" s="35">
        <f t="shared" si="13"/>
        <v>12483.870967741936</v>
      </c>
      <c r="Y17" s="34">
        <v>0</v>
      </c>
      <c r="Z17" s="34">
        <v>0</v>
      </c>
      <c r="AA17" s="35">
        <v>0</v>
      </c>
      <c r="AB17" s="35">
        <f t="shared" si="7"/>
        <v>12483.870967741936</v>
      </c>
      <c r="AC17" s="36">
        <v>0</v>
      </c>
      <c r="AD17" s="36">
        <v>0</v>
      </c>
      <c r="AE17" s="37">
        <v>0</v>
      </c>
      <c r="AF17" s="38">
        <v>0</v>
      </c>
      <c r="AG17" s="46"/>
      <c r="AH17" s="38"/>
      <c r="AI17" s="46">
        <v>0</v>
      </c>
      <c r="AJ17" s="39">
        <v>3000</v>
      </c>
      <c r="AK17" s="40">
        <v>18100</v>
      </c>
      <c r="AL17" s="40">
        <v>500</v>
      </c>
      <c r="AM17" s="40">
        <v>6500</v>
      </c>
      <c r="AN17" s="40">
        <v>0</v>
      </c>
      <c r="AO17" s="40">
        <v>2500</v>
      </c>
      <c r="AP17" s="40">
        <v>10000</v>
      </c>
      <c r="AQ17" s="40">
        <v>0</v>
      </c>
      <c r="AR17" s="40">
        <v>8000</v>
      </c>
      <c r="AS17" s="40">
        <v>7000</v>
      </c>
      <c r="AT17" s="40">
        <v>0</v>
      </c>
      <c r="AU17" s="40">
        <v>0</v>
      </c>
      <c r="AV17" s="40">
        <v>1000</v>
      </c>
      <c r="AW17" s="40">
        <v>2000</v>
      </c>
      <c r="AX17" s="40">
        <v>0</v>
      </c>
      <c r="AY17" s="40">
        <v>0</v>
      </c>
      <c r="AZ17" s="40">
        <v>500</v>
      </c>
      <c r="BA17" s="40">
        <v>0</v>
      </c>
      <c r="BB17" s="40">
        <v>0</v>
      </c>
      <c r="BC17" s="40">
        <v>0</v>
      </c>
      <c r="BD17" s="40">
        <v>0</v>
      </c>
      <c r="BE17" s="40">
        <v>11000</v>
      </c>
      <c r="BF17" s="40">
        <v>19250</v>
      </c>
      <c r="BG17" s="40">
        <v>0</v>
      </c>
      <c r="BH17" s="40">
        <v>18500</v>
      </c>
      <c r="BI17" s="40">
        <v>0</v>
      </c>
      <c r="BJ17" s="40">
        <v>8000</v>
      </c>
      <c r="BK17" s="40">
        <v>2000</v>
      </c>
      <c r="BL17" s="40">
        <v>16000</v>
      </c>
      <c r="BM17" s="40">
        <v>0</v>
      </c>
      <c r="BN17" s="40">
        <v>0</v>
      </c>
    </row>
    <row r="18" spans="1:66" x14ac:dyDescent="0.25">
      <c r="A18" s="25" t="s">
        <v>81</v>
      </c>
      <c r="B18" s="41" t="s">
        <v>82</v>
      </c>
      <c r="C18" s="42" t="s">
        <v>44</v>
      </c>
      <c r="D18" s="41" t="s">
        <v>83</v>
      </c>
      <c r="E18" s="43">
        <v>922010004158547</v>
      </c>
      <c r="F18" s="26" t="s">
        <v>84</v>
      </c>
      <c r="G18" s="28">
        <v>45778</v>
      </c>
      <c r="H18" s="29">
        <v>17000</v>
      </c>
      <c r="I18" s="30">
        <v>120000</v>
      </c>
      <c r="J18" s="30">
        <v>170000</v>
      </c>
      <c r="K18" s="30">
        <f t="shared" si="10"/>
        <v>170509</v>
      </c>
      <c r="L18" s="31">
        <v>24000</v>
      </c>
      <c r="M18" s="30">
        <v>129509</v>
      </c>
      <c r="N18" s="30">
        <v>17000</v>
      </c>
      <c r="O18" s="44">
        <f t="shared" si="5"/>
        <v>509</v>
      </c>
      <c r="P18" s="32">
        <f t="shared" si="11"/>
        <v>142.09083333333334</v>
      </c>
      <c r="Q18" s="33">
        <v>31</v>
      </c>
      <c r="R18" s="33">
        <v>0</v>
      </c>
      <c r="S18" s="33">
        <v>0</v>
      </c>
      <c r="T18" s="29">
        <f t="shared" si="6"/>
        <v>31</v>
      </c>
      <c r="U18" s="34">
        <f t="shared" si="12"/>
        <v>17000</v>
      </c>
      <c r="V18" s="34">
        <f t="shared" si="8"/>
        <v>50.900000000000006</v>
      </c>
      <c r="W18" s="34">
        <v>0</v>
      </c>
      <c r="X18" s="35">
        <f t="shared" si="13"/>
        <v>17050.900000000001</v>
      </c>
      <c r="Y18" s="34">
        <v>0</v>
      </c>
      <c r="Z18" s="34">
        <v>0</v>
      </c>
      <c r="AA18" s="35">
        <v>0</v>
      </c>
      <c r="AB18" s="35">
        <f t="shared" si="7"/>
        <v>17050.900000000001</v>
      </c>
      <c r="AC18" s="36">
        <v>0</v>
      </c>
      <c r="AD18" s="36">
        <v>0</v>
      </c>
      <c r="AE18" s="37">
        <v>0</v>
      </c>
      <c r="AF18" s="38">
        <v>0</v>
      </c>
      <c r="AG18" s="46"/>
      <c r="AH18" s="38"/>
      <c r="AI18" s="46">
        <v>0</v>
      </c>
      <c r="AJ18" s="39">
        <v>5000</v>
      </c>
      <c r="AK18" s="40">
        <v>2000</v>
      </c>
      <c r="AL18" s="40">
        <v>3000</v>
      </c>
      <c r="AM18" s="40">
        <v>1000</v>
      </c>
      <c r="AN18" s="40">
        <v>0</v>
      </c>
      <c r="AO18" s="40">
        <v>2500</v>
      </c>
      <c r="AP18" s="40">
        <v>5951</v>
      </c>
      <c r="AQ18" s="40">
        <v>11200</v>
      </c>
      <c r="AR18" s="40">
        <v>40750</v>
      </c>
      <c r="AS18" s="40">
        <v>2700</v>
      </c>
      <c r="AT18" s="40">
        <v>5751</v>
      </c>
      <c r="AU18" s="40">
        <v>0</v>
      </c>
      <c r="AV18" s="40">
        <v>1000</v>
      </c>
      <c r="AW18" s="40">
        <v>500</v>
      </c>
      <c r="AX18" s="40">
        <v>3000</v>
      </c>
      <c r="AY18" s="40">
        <v>4500</v>
      </c>
      <c r="AZ18" s="40">
        <v>4200</v>
      </c>
      <c r="BA18" s="40">
        <v>1100</v>
      </c>
      <c r="BB18" s="40">
        <v>0</v>
      </c>
      <c r="BC18" s="40">
        <v>0</v>
      </c>
      <c r="BD18" s="40">
        <v>6000</v>
      </c>
      <c r="BE18" s="40">
        <v>1000</v>
      </c>
      <c r="BF18" s="40">
        <v>1200</v>
      </c>
      <c r="BG18" s="40">
        <v>0</v>
      </c>
      <c r="BH18" s="40">
        <v>3250</v>
      </c>
      <c r="BI18" s="40">
        <v>5001</v>
      </c>
      <c r="BJ18" s="40">
        <v>10100</v>
      </c>
      <c r="BK18" s="40">
        <v>2000</v>
      </c>
      <c r="BL18" s="40">
        <v>4305</v>
      </c>
      <c r="BM18" s="40">
        <v>23500</v>
      </c>
      <c r="BN18" s="40">
        <v>20001</v>
      </c>
    </row>
    <row r="19" spans="1:66" x14ac:dyDescent="0.25">
      <c r="A19" s="25" t="s">
        <v>85</v>
      </c>
      <c r="B19" s="25" t="s">
        <v>85</v>
      </c>
      <c r="C19" s="26" t="s">
        <v>37</v>
      </c>
      <c r="D19" s="25" t="s">
        <v>86</v>
      </c>
      <c r="E19" s="27">
        <v>7846356315</v>
      </c>
      <c r="F19" s="26" t="s">
        <v>87</v>
      </c>
      <c r="G19" s="28">
        <v>46055</v>
      </c>
      <c r="H19" s="29">
        <v>12000</v>
      </c>
      <c r="I19" s="30">
        <v>40000</v>
      </c>
      <c r="J19" s="30">
        <v>35000</v>
      </c>
      <c r="K19" s="30">
        <f t="shared" si="10"/>
        <v>23502</v>
      </c>
      <c r="L19" s="31">
        <v>22902</v>
      </c>
      <c r="M19" s="30">
        <v>0</v>
      </c>
      <c r="N19" s="30">
        <v>600</v>
      </c>
      <c r="O19" s="30">
        <f t="shared" si="5"/>
        <v>-11498</v>
      </c>
      <c r="P19" s="32">
        <f t="shared" si="11"/>
        <v>58.755000000000003</v>
      </c>
      <c r="Q19" s="33">
        <v>31</v>
      </c>
      <c r="R19" s="33">
        <v>0</v>
      </c>
      <c r="S19" s="33">
        <v>0</v>
      </c>
      <c r="T19" s="29">
        <f t="shared" si="6"/>
        <v>31</v>
      </c>
      <c r="U19" s="34">
        <f t="shared" si="12"/>
        <v>12000</v>
      </c>
      <c r="V19" s="34">
        <v>0</v>
      </c>
      <c r="W19" s="34">
        <v>0</v>
      </c>
      <c r="X19" s="35">
        <f t="shared" si="13"/>
        <v>12000</v>
      </c>
      <c r="Y19" s="34">
        <v>0</v>
      </c>
      <c r="Z19" s="34">
        <v>0</v>
      </c>
      <c r="AA19" s="35">
        <v>0</v>
      </c>
      <c r="AB19" s="35">
        <f t="shared" si="7"/>
        <v>12000</v>
      </c>
      <c r="AC19" s="36">
        <v>0</v>
      </c>
      <c r="AD19" s="36">
        <v>0</v>
      </c>
      <c r="AE19" s="37">
        <v>0</v>
      </c>
      <c r="AF19" s="38">
        <v>0</v>
      </c>
      <c r="AG19" s="37"/>
      <c r="AH19" s="38"/>
      <c r="AI19" s="37">
        <v>0</v>
      </c>
      <c r="AJ19" s="39">
        <v>700</v>
      </c>
      <c r="AK19" s="40">
        <v>1250</v>
      </c>
      <c r="AL19" s="40">
        <v>2500</v>
      </c>
      <c r="AM19" s="40">
        <v>5000</v>
      </c>
      <c r="AN19" s="40">
        <v>0</v>
      </c>
      <c r="AO19" s="40">
        <v>500</v>
      </c>
      <c r="AP19" s="40">
        <v>1000</v>
      </c>
      <c r="AQ19" s="40">
        <v>0</v>
      </c>
      <c r="AR19" s="40">
        <v>0</v>
      </c>
      <c r="AS19" s="40">
        <v>1600</v>
      </c>
      <c r="AT19" s="40">
        <v>0</v>
      </c>
      <c r="AU19" s="40">
        <v>0</v>
      </c>
      <c r="AV19" s="40">
        <v>0</v>
      </c>
      <c r="AW19" s="40">
        <v>600</v>
      </c>
      <c r="AX19" s="40">
        <v>3800</v>
      </c>
      <c r="AY19" s="40">
        <v>1000</v>
      </c>
      <c r="AZ19" s="40">
        <v>0</v>
      </c>
      <c r="BA19" s="40">
        <v>0</v>
      </c>
      <c r="BB19" s="40">
        <v>0</v>
      </c>
      <c r="BC19" s="40">
        <v>0</v>
      </c>
      <c r="BD19" s="40">
        <v>651</v>
      </c>
      <c r="BE19" s="40">
        <v>0</v>
      </c>
      <c r="BF19" s="40">
        <v>201</v>
      </c>
      <c r="BG19" s="40">
        <v>0</v>
      </c>
      <c r="BH19" s="40">
        <v>2000</v>
      </c>
      <c r="BI19" s="40">
        <v>0</v>
      </c>
      <c r="BJ19" s="40">
        <v>0</v>
      </c>
      <c r="BK19" s="40">
        <v>0</v>
      </c>
      <c r="BL19" s="40">
        <v>200</v>
      </c>
      <c r="BM19" s="40">
        <v>0</v>
      </c>
      <c r="BN19" s="40">
        <v>2500</v>
      </c>
    </row>
    <row r="20" spans="1:66" x14ac:dyDescent="0.25">
      <c r="A20" s="25" t="s">
        <v>88</v>
      </c>
      <c r="B20" s="25" t="s">
        <v>89</v>
      </c>
      <c r="C20" s="26" t="s">
        <v>37</v>
      </c>
      <c r="D20" s="25" t="s">
        <v>90</v>
      </c>
      <c r="E20" s="27">
        <v>60398073422</v>
      </c>
      <c r="F20" s="26" t="s">
        <v>91</v>
      </c>
      <c r="G20" s="28">
        <v>45691</v>
      </c>
      <c r="H20" s="29">
        <v>10000</v>
      </c>
      <c r="I20" s="30">
        <v>10000</v>
      </c>
      <c r="J20" s="30">
        <f>H20*2</f>
        <v>20000</v>
      </c>
      <c r="K20" s="30">
        <f>SUM(AJ20:BN20)</f>
        <v>5811</v>
      </c>
      <c r="L20" s="31">
        <v>5811</v>
      </c>
      <c r="M20" s="30">
        <v>0</v>
      </c>
      <c r="N20" s="30">
        <v>0</v>
      </c>
      <c r="O20" s="30">
        <f t="shared" si="5"/>
        <v>-14189</v>
      </c>
      <c r="P20" s="32">
        <f t="shared" si="11"/>
        <v>58.11</v>
      </c>
      <c r="Q20" s="33">
        <v>23.5</v>
      </c>
      <c r="R20" s="33">
        <v>0</v>
      </c>
      <c r="S20" s="33">
        <v>0</v>
      </c>
      <c r="T20" s="29">
        <f t="shared" si="6"/>
        <v>23.5</v>
      </c>
      <c r="U20" s="34">
        <f t="shared" si="12"/>
        <v>7580.6451612903229</v>
      </c>
      <c r="V20" s="34">
        <v>0</v>
      </c>
      <c r="W20" s="34">
        <v>0</v>
      </c>
      <c r="X20" s="35">
        <f>SUM(U20:W20)</f>
        <v>7580.6451612903229</v>
      </c>
      <c r="Y20" s="34">
        <v>0</v>
      </c>
      <c r="Z20" s="34">
        <v>0</v>
      </c>
      <c r="AA20" s="35">
        <v>0</v>
      </c>
      <c r="AB20" s="35">
        <f t="shared" si="7"/>
        <v>7580.6451612903229</v>
      </c>
      <c r="AC20" s="36">
        <v>0</v>
      </c>
      <c r="AD20" s="36">
        <v>0</v>
      </c>
      <c r="AE20" s="37">
        <v>0</v>
      </c>
      <c r="AF20" s="38">
        <v>0</v>
      </c>
      <c r="AG20" s="37"/>
      <c r="AH20" s="38"/>
      <c r="AI20" s="37">
        <v>0</v>
      </c>
      <c r="AJ20" s="39"/>
      <c r="AK20" s="40"/>
      <c r="AL20" s="40">
        <v>250</v>
      </c>
      <c r="AM20" s="40">
        <v>1250</v>
      </c>
      <c r="AN20" s="40"/>
      <c r="AO20" s="40"/>
      <c r="AP20" s="40"/>
      <c r="AQ20" s="40"/>
      <c r="AR20" s="40"/>
      <c r="AS20" s="40"/>
      <c r="AT20" s="40">
        <v>811</v>
      </c>
      <c r="AU20" s="40"/>
      <c r="AV20" s="40"/>
      <c r="AW20" s="40"/>
      <c r="AX20" s="40"/>
      <c r="AY20" s="40">
        <v>1000</v>
      </c>
      <c r="AZ20" s="40">
        <v>1250</v>
      </c>
      <c r="BA20" s="40"/>
      <c r="BB20" s="40"/>
      <c r="BC20" s="40"/>
      <c r="BD20" s="40">
        <v>0</v>
      </c>
      <c r="BE20" s="40">
        <v>250</v>
      </c>
      <c r="BF20" s="40">
        <v>0</v>
      </c>
      <c r="BG20" s="40">
        <v>0</v>
      </c>
      <c r="BH20" s="40">
        <v>500</v>
      </c>
      <c r="BI20" s="40">
        <v>0</v>
      </c>
      <c r="BJ20" s="40">
        <v>500</v>
      </c>
      <c r="BK20" s="40">
        <v>0</v>
      </c>
      <c r="BL20" s="40">
        <v>0</v>
      </c>
      <c r="BM20" s="40">
        <v>0</v>
      </c>
      <c r="BN20" s="40">
        <v>0</v>
      </c>
    </row>
    <row r="21" spans="1:66" s="24" customFormat="1" x14ac:dyDescent="0.25">
      <c r="A21" s="17" t="s">
        <v>92</v>
      </c>
      <c r="B21" s="17"/>
      <c r="C21" s="18"/>
      <c r="D21" s="17"/>
      <c r="E21" s="19"/>
      <c r="F21" s="18"/>
      <c r="G21" s="20"/>
      <c r="H21" s="21">
        <f>SUM(H22:H32)</f>
        <v>152000</v>
      </c>
      <c r="I21" s="21">
        <f t="shared" ref="I21:BN21" si="14">SUM(I22:I32)</f>
        <v>585500</v>
      </c>
      <c r="J21" s="21">
        <f t="shared" si="14"/>
        <v>575000</v>
      </c>
      <c r="K21" s="21">
        <f t="shared" si="14"/>
        <v>309817</v>
      </c>
      <c r="L21" s="21">
        <f t="shared" si="14"/>
        <v>165134</v>
      </c>
      <c r="M21" s="21">
        <f t="shared" si="14"/>
        <v>99881</v>
      </c>
      <c r="N21" s="21">
        <f t="shared" si="14"/>
        <v>44802</v>
      </c>
      <c r="O21" s="21">
        <f t="shared" si="5"/>
        <v>-265183</v>
      </c>
      <c r="P21" s="21">
        <f t="shared" si="14"/>
        <v>633.95594374416441</v>
      </c>
      <c r="Q21" s="21">
        <f t="shared" si="14"/>
        <v>308</v>
      </c>
      <c r="R21" s="21">
        <f t="shared" si="14"/>
        <v>0</v>
      </c>
      <c r="S21" s="21">
        <f t="shared" si="14"/>
        <v>0</v>
      </c>
      <c r="T21" s="21">
        <f t="shared" si="14"/>
        <v>308</v>
      </c>
      <c r="U21" s="21">
        <f t="shared" si="14"/>
        <v>135274.19354838709</v>
      </c>
      <c r="V21" s="21">
        <f t="shared" si="14"/>
        <v>201.20000000000002</v>
      </c>
      <c r="W21" s="21">
        <f t="shared" si="14"/>
        <v>0</v>
      </c>
      <c r="X21" s="21">
        <f t="shared" si="14"/>
        <v>135475.39354838707</v>
      </c>
      <c r="Y21" s="21">
        <f t="shared" si="14"/>
        <v>0</v>
      </c>
      <c r="Z21" s="21">
        <f t="shared" si="14"/>
        <v>0</v>
      </c>
      <c r="AA21" s="21">
        <f t="shared" si="14"/>
        <v>0</v>
      </c>
      <c r="AB21" s="21">
        <f t="shared" si="7"/>
        <v>135475.39354838707</v>
      </c>
      <c r="AC21" s="21">
        <f t="shared" si="14"/>
        <v>0</v>
      </c>
      <c r="AD21" s="21">
        <f t="shared" si="14"/>
        <v>0</v>
      </c>
      <c r="AE21" s="21">
        <f t="shared" si="14"/>
        <v>0</v>
      </c>
      <c r="AF21" s="21">
        <f t="shared" si="14"/>
        <v>0</v>
      </c>
      <c r="AG21" s="21">
        <f t="shared" si="14"/>
        <v>0</v>
      </c>
      <c r="AH21" s="21">
        <f t="shared" si="14"/>
        <v>0</v>
      </c>
      <c r="AI21" s="21">
        <f t="shared" si="14"/>
        <v>0</v>
      </c>
      <c r="AJ21" s="21">
        <f t="shared" si="14"/>
        <v>16002</v>
      </c>
      <c r="AK21" s="21">
        <f t="shared" si="14"/>
        <v>8767</v>
      </c>
      <c r="AL21" s="21">
        <f t="shared" si="14"/>
        <v>13406</v>
      </c>
      <c r="AM21" s="21">
        <f t="shared" si="14"/>
        <v>12603</v>
      </c>
      <c r="AN21" s="21">
        <f t="shared" si="14"/>
        <v>1000</v>
      </c>
      <c r="AO21" s="21">
        <f t="shared" si="14"/>
        <v>21452</v>
      </c>
      <c r="AP21" s="21">
        <f t="shared" si="14"/>
        <v>20901</v>
      </c>
      <c r="AQ21" s="21">
        <f t="shared" si="14"/>
        <v>11602</v>
      </c>
      <c r="AR21" s="21">
        <f t="shared" si="14"/>
        <v>13297</v>
      </c>
      <c r="AS21" s="21">
        <f t="shared" si="14"/>
        <v>8022</v>
      </c>
      <c r="AT21" s="21">
        <f t="shared" si="14"/>
        <v>7758</v>
      </c>
      <c r="AU21" s="21">
        <f t="shared" si="14"/>
        <v>1850</v>
      </c>
      <c r="AV21" s="21">
        <f t="shared" si="14"/>
        <v>3050</v>
      </c>
      <c r="AW21" s="21">
        <f t="shared" si="14"/>
        <v>8051</v>
      </c>
      <c r="AX21" s="21">
        <f t="shared" si="14"/>
        <v>12003</v>
      </c>
      <c r="AY21" s="21">
        <f t="shared" si="14"/>
        <v>6424</v>
      </c>
      <c r="AZ21" s="21">
        <f t="shared" si="14"/>
        <v>8111</v>
      </c>
      <c r="BA21" s="21">
        <f t="shared" si="14"/>
        <v>11604</v>
      </c>
      <c r="BB21" s="21">
        <f t="shared" si="14"/>
        <v>750</v>
      </c>
      <c r="BC21" s="21">
        <f t="shared" si="14"/>
        <v>25904</v>
      </c>
      <c r="BD21" s="21">
        <f t="shared" si="14"/>
        <v>3952</v>
      </c>
      <c r="BE21" s="21">
        <f t="shared" si="14"/>
        <v>3453</v>
      </c>
      <c r="BF21" s="21">
        <f t="shared" si="14"/>
        <v>4150</v>
      </c>
      <c r="BG21" s="21">
        <f t="shared" si="14"/>
        <v>11603</v>
      </c>
      <c r="BH21" s="21">
        <f t="shared" si="14"/>
        <v>16679</v>
      </c>
      <c r="BI21" s="21">
        <f t="shared" si="14"/>
        <v>6154</v>
      </c>
      <c r="BJ21" s="21">
        <f t="shared" si="14"/>
        <v>7051</v>
      </c>
      <c r="BK21" s="21">
        <f t="shared" si="14"/>
        <v>6553</v>
      </c>
      <c r="BL21" s="21">
        <f t="shared" si="14"/>
        <v>5728</v>
      </c>
      <c r="BM21" s="21">
        <f t="shared" si="14"/>
        <v>11583</v>
      </c>
      <c r="BN21" s="21">
        <f t="shared" si="14"/>
        <v>20354</v>
      </c>
    </row>
    <row r="22" spans="1:66" x14ac:dyDescent="0.25">
      <c r="A22" s="25" t="s">
        <v>93</v>
      </c>
      <c r="B22" s="25" t="s">
        <v>93</v>
      </c>
      <c r="C22" s="26" t="s">
        <v>37</v>
      </c>
      <c r="D22" s="25" t="s">
        <v>94</v>
      </c>
      <c r="E22" s="27">
        <v>510000000330213</v>
      </c>
      <c r="F22" s="26" t="s">
        <v>95</v>
      </c>
      <c r="G22" s="28">
        <v>45354</v>
      </c>
      <c r="H22" s="29">
        <v>20000</v>
      </c>
      <c r="I22" s="30">
        <v>70000</v>
      </c>
      <c r="J22" s="30">
        <v>70000</v>
      </c>
      <c r="K22" s="30">
        <f t="shared" ref="K22:K31" si="15">SUM(AJ22:BN22)</f>
        <v>6252</v>
      </c>
      <c r="L22" s="31">
        <v>1501</v>
      </c>
      <c r="M22" s="30">
        <v>4751</v>
      </c>
      <c r="N22" s="30">
        <v>0</v>
      </c>
      <c r="O22" s="30">
        <f t="shared" si="5"/>
        <v>-63748</v>
      </c>
      <c r="P22" s="32">
        <f t="shared" ref="P22:P32" si="16">K22*100/I22</f>
        <v>8.9314285714285706</v>
      </c>
      <c r="Q22" s="33">
        <v>29</v>
      </c>
      <c r="R22" s="33">
        <v>0</v>
      </c>
      <c r="S22" s="33">
        <v>0</v>
      </c>
      <c r="T22" s="29">
        <f t="shared" si="6"/>
        <v>29</v>
      </c>
      <c r="U22" s="34">
        <f t="shared" ref="U22:U32" si="17">H22*T22/31</f>
        <v>18709.677419354837</v>
      </c>
      <c r="V22" s="34">
        <v>0</v>
      </c>
      <c r="W22" s="34">
        <v>0</v>
      </c>
      <c r="X22" s="35">
        <f t="shared" ref="X22:X28" si="18">SUM(U22:W22)</f>
        <v>18709.677419354837</v>
      </c>
      <c r="Y22" s="34">
        <v>0</v>
      </c>
      <c r="Z22" s="34">
        <v>0</v>
      </c>
      <c r="AA22" s="35">
        <v>0</v>
      </c>
      <c r="AB22" s="35">
        <f t="shared" si="7"/>
        <v>18709.677419354837</v>
      </c>
      <c r="AC22" s="36">
        <v>0</v>
      </c>
      <c r="AD22" s="36">
        <v>0</v>
      </c>
      <c r="AE22" s="37">
        <v>0</v>
      </c>
      <c r="AF22" s="38">
        <v>0</v>
      </c>
      <c r="AG22" s="46"/>
      <c r="AH22" s="38"/>
      <c r="AI22" s="46">
        <v>0</v>
      </c>
      <c r="AJ22" s="39">
        <v>0</v>
      </c>
      <c r="AK22" s="40">
        <v>0</v>
      </c>
      <c r="AL22" s="40">
        <v>1501</v>
      </c>
      <c r="AM22" s="40">
        <v>0</v>
      </c>
      <c r="AN22" s="40">
        <v>1000</v>
      </c>
      <c r="AO22" s="40">
        <v>500</v>
      </c>
      <c r="AP22" s="40">
        <v>0</v>
      </c>
      <c r="AQ22" s="40">
        <v>2000</v>
      </c>
      <c r="AR22" s="40">
        <v>501</v>
      </c>
      <c r="AS22" s="40">
        <v>0</v>
      </c>
      <c r="AT22" s="40">
        <v>0</v>
      </c>
      <c r="AU22" s="40">
        <v>0</v>
      </c>
      <c r="AV22" s="40">
        <v>0</v>
      </c>
      <c r="AW22" s="40">
        <v>0</v>
      </c>
      <c r="AX22" s="40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500</v>
      </c>
      <c r="BG22" s="40">
        <v>250</v>
      </c>
      <c r="BH22" s="40">
        <v>0</v>
      </c>
      <c r="BI22" s="40">
        <v>0</v>
      </c>
      <c r="BJ22" s="40">
        <v>0</v>
      </c>
      <c r="BK22" s="40">
        <v>0</v>
      </c>
      <c r="BL22" s="40">
        <v>0</v>
      </c>
      <c r="BM22" s="40">
        <v>0</v>
      </c>
      <c r="BN22" s="40">
        <v>0</v>
      </c>
    </row>
    <row r="23" spans="1:66" x14ac:dyDescent="0.25">
      <c r="A23" s="25" t="s">
        <v>96</v>
      </c>
      <c r="B23" s="25" t="s">
        <v>96</v>
      </c>
      <c r="C23" s="26" t="s">
        <v>37</v>
      </c>
      <c r="D23" s="25" t="s">
        <v>65</v>
      </c>
      <c r="E23" s="27">
        <v>16210100030070</v>
      </c>
      <c r="F23" s="26" t="s">
        <v>97</v>
      </c>
      <c r="G23" s="28">
        <v>45551</v>
      </c>
      <c r="H23" s="29">
        <v>14000</v>
      </c>
      <c r="I23" s="30">
        <v>56000</v>
      </c>
      <c r="J23" s="30">
        <v>65000</v>
      </c>
      <c r="K23" s="30">
        <f t="shared" si="15"/>
        <v>65483</v>
      </c>
      <c r="L23" s="31">
        <v>41532</v>
      </c>
      <c r="M23" s="30">
        <v>1251</v>
      </c>
      <c r="N23" s="30">
        <v>22700</v>
      </c>
      <c r="O23" s="44">
        <f t="shared" si="5"/>
        <v>483</v>
      </c>
      <c r="P23" s="32">
        <f t="shared" si="16"/>
        <v>116.93392857142857</v>
      </c>
      <c r="Q23" s="33">
        <v>30</v>
      </c>
      <c r="R23" s="33">
        <v>0</v>
      </c>
      <c r="S23" s="33">
        <v>0</v>
      </c>
      <c r="T23" s="29">
        <f t="shared" si="6"/>
        <v>30</v>
      </c>
      <c r="U23" s="34">
        <f t="shared" si="17"/>
        <v>13548.387096774193</v>
      </c>
      <c r="V23" s="34">
        <f t="shared" si="8"/>
        <v>48.300000000000004</v>
      </c>
      <c r="W23" s="34">
        <v>0</v>
      </c>
      <c r="X23" s="35">
        <f t="shared" si="18"/>
        <v>13596.687096774192</v>
      </c>
      <c r="Y23" s="34">
        <v>0</v>
      </c>
      <c r="Z23" s="34">
        <v>0</v>
      </c>
      <c r="AA23" s="35">
        <v>0</v>
      </c>
      <c r="AB23" s="35">
        <f t="shared" si="7"/>
        <v>13596.687096774192</v>
      </c>
      <c r="AC23" s="36">
        <v>0</v>
      </c>
      <c r="AD23" s="36">
        <v>0</v>
      </c>
      <c r="AE23" s="37">
        <v>0</v>
      </c>
      <c r="AF23" s="38">
        <v>0</v>
      </c>
      <c r="AG23" s="46"/>
      <c r="AH23" s="38"/>
      <c r="AI23" s="46">
        <v>0</v>
      </c>
      <c r="AJ23" s="39">
        <v>3500</v>
      </c>
      <c r="AK23" s="40">
        <v>150</v>
      </c>
      <c r="AL23" s="40">
        <v>2000</v>
      </c>
      <c r="AM23" s="40">
        <v>1500</v>
      </c>
      <c r="AN23" s="40">
        <v>0</v>
      </c>
      <c r="AO23" s="40">
        <v>4402</v>
      </c>
      <c r="AP23" s="40">
        <v>1750</v>
      </c>
      <c r="AQ23" s="40">
        <v>1500</v>
      </c>
      <c r="AR23" s="40">
        <v>0</v>
      </c>
      <c r="AS23" s="40">
        <v>0</v>
      </c>
      <c r="AT23" s="40">
        <v>1500</v>
      </c>
      <c r="AU23" s="40">
        <v>0</v>
      </c>
      <c r="AV23" s="40">
        <v>0</v>
      </c>
      <c r="AW23" s="40">
        <v>100</v>
      </c>
      <c r="AX23" s="40">
        <v>200</v>
      </c>
      <c r="AY23" s="40">
        <v>0</v>
      </c>
      <c r="AZ23" s="40">
        <v>2350</v>
      </c>
      <c r="BA23" s="40">
        <v>1250</v>
      </c>
      <c r="BB23" s="40">
        <v>0</v>
      </c>
      <c r="BC23" s="40">
        <v>20350</v>
      </c>
      <c r="BD23" s="40">
        <v>130</v>
      </c>
      <c r="BE23" s="40">
        <v>1000</v>
      </c>
      <c r="BF23" s="40">
        <v>250</v>
      </c>
      <c r="BG23" s="40">
        <v>1000</v>
      </c>
      <c r="BH23" s="40">
        <v>6850</v>
      </c>
      <c r="BI23" s="40">
        <v>1000</v>
      </c>
      <c r="BJ23" s="40">
        <v>0</v>
      </c>
      <c r="BK23" s="40">
        <v>0</v>
      </c>
      <c r="BL23" s="40">
        <v>500</v>
      </c>
      <c r="BM23" s="40">
        <v>1750</v>
      </c>
      <c r="BN23" s="40">
        <v>12451</v>
      </c>
    </row>
    <row r="24" spans="1:66" x14ac:dyDescent="0.25">
      <c r="A24" s="25" t="s">
        <v>98</v>
      </c>
      <c r="B24" s="25" t="s">
        <v>98</v>
      </c>
      <c r="C24" s="26" t="s">
        <v>37</v>
      </c>
      <c r="D24" s="25" t="s">
        <v>86</v>
      </c>
      <c r="E24" s="27">
        <v>1948836799</v>
      </c>
      <c r="F24" s="26" t="s">
        <v>99</v>
      </c>
      <c r="G24" s="28">
        <v>45474</v>
      </c>
      <c r="H24" s="29">
        <v>12000</v>
      </c>
      <c r="I24" s="30">
        <v>70000</v>
      </c>
      <c r="J24" s="30">
        <v>65000</v>
      </c>
      <c r="K24" s="30">
        <f t="shared" si="15"/>
        <v>29001</v>
      </c>
      <c r="L24" s="31">
        <v>8896</v>
      </c>
      <c r="M24" s="30">
        <v>13551</v>
      </c>
      <c r="N24" s="30">
        <v>6554</v>
      </c>
      <c r="O24" s="30">
        <f t="shared" si="5"/>
        <v>-35999</v>
      </c>
      <c r="P24" s="32">
        <f t="shared" si="16"/>
        <v>41.43</v>
      </c>
      <c r="Q24" s="33">
        <v>30.5</v>
      </c>
      <c r="R24" s="33">
        <v>0</v>
      </c>
      <c r="S24" s="33">
        <v>0</v>
      </c>
      <c r="T24" s="29">
        <f t="shared" si="6"/>
        <v>30.5</v>
      </c>
      <c r="U24" s="34">
        <f t="shared" si="17"/>
        <v>11806.451612903225</v>
      </c>
      <c r="V24" s="34">
        <v>0</v>
      </c>
      <c r="W24" s="34">
        <v>0</v>
      </c>
      <c r="X24" s="35">
        <f t="shared" si="18"/>
        <v>11806.451612903225</v>
      </c>
      <c r="Y24" s="34">
        <v>0</v>
      </c>
      <c r="Z24" s="34">
        <v>0</v>
      </c>
      <c r="AA24" s="35">
        <v>0</v>
      </c>
      <c r="AB24" s="35">
        <f t="shared" si="7"/>
        <v>11806.451612903225</v>
      </c>
      <c r="AC24" s="36">
        <v>0</v>
      </c>
      <c r="AD24" s="36">
        <v>0</v>
      </c>
      <c r="AE24" s="37">
        <v>0</v>
      </c>
      <c r="AF24" s="38">
        <v>0</v>
      </c>
      <c r="AG24" s="46"/>
      <c r="AH24" s="38"/>
      <c r="AI24" s="46">
        <v>0</v>
      </c>
      <c r="AJ24" s="39">
        <v>501</v>
      </c>
      <c r="AK24" s="40">
        <v>200</v>
      </c>
      <c r="AL24" s="40">
        <v>501</v>
      </c>
      <c r="AM24" s="40">
        <v>900</v>
      </c>
      <c r="AN24" s="40">
        <v>0</v>
      </c>
      <c r="AO24" s="40">
        <v>2200</v>
      </c>
      <c r="AP24" s="40">
        <v>5500</v>
      </c>
      <c r="AQ24" s="40">
        <v>1500</v>
      </c>
      <c r="AR24" s="40">
        <v>0</v>
      </c>
      <c r="AS24" s="40">
        <v>0</v>
      </c>
      <c r="AT24" s="40">
        <v>1308</v>
      </c>
      <c r="AU24" s="40">
        <v>0</v>
      </c>
      <c r="AV24" s="40">
        <v>1000</v>
      </c>
      <c r="AW24" s="40">
        <v>3000</v>
      </c>
      <c r="AX24" s="40">
        <v>2201</v>
      </c>
      <c r="AY24" s="40">
        <v>501</v>
      </c>
      <c r="AZ24" s="40">
        <v>0</v>
      </c>
      <c r="BA24" s="40">
        <v>1501</v>
      </c>
      <c r="BB24" s="40">
        <v>0</v>
      </c>
      <c r="BC24" s="40">
        <v>504</v>
      </c>
      <c r="BD24" s="40">
        <v>1800</v>
      </c>
      <c r="BE24" s="40">
        <v>201</v>
      </c>
      <c r="BF24" s="40">
        <v>0</v>
      </c>
      <c r="BG24" s="40">
        <v>0</v>
      </c>
      <c r="BH24" s="40">
        <v>500</v>
      </c>
      <c r="BI24" s="40">
        <v>1500</v>
      </c>
      <c r="BJ24" s="40">
        <v>0</v>
      </c>
      <c r="BK24" s="40">
        <v>1451</v>
      </c>
      <c r="BL24" s="40">
        <v>0</v>
      </c>
      <c r="BM24" s="40">
        <v>482</v>
      </c>
      <c r="BN24" s="40">
        <v>1750</v>
      </c>
    </row>
    <row r="25" spans="1:66" x14ac:dyDescent="0.25">
      <c r="A25" s="25" t="s">
        <v>100</v>
      </c>
      <c r="B25" s="25" t="s">
        <v>101</v>
      </c>
      <c r="C25" s="26" t="s">
        <v>37</v>
      </c>
      <c r="D25" s="25" t="s">
        <v>90</v>
      </c>
      <c r="E25" s="27">
        <v>68019197401</v>
      </c>
      <c r="F25" s="26" t="s">
        <v>41</v>
      </c>
      <c r="G25" s="28">
        <v>46120</v>
      </c>
      <c r="H25" s="29">
        <v>15000</v>
      </c>
      <c r="I25" s="30">
        <v>37500</v>
      </c>
      <c r="J25" s="30">
        <v>35000</v>
      </c>
      <c r="K25" s="30">
        <f t="shared" si="15"/>
        <v>17717</v>
      </c>
      <c r="L25" s="31">
        <v>17717</v>
      </c>
      <c r="M25" s="30">
        <v>0</v>
      </c>
      <c r="N25" s="30">
        <v>0</v>
      </c>
      <c r="O25" s="30">
        <f t="shared" si="5"/>
        <v>-17283</v>
      </c>
      <c r="P25" s="32">
        <f t="shared" si="16"/>
        <v>47.245333333333335</v>
      </c>
      <c r="Q25" s="33">
        <v>29.5</v>
      </c>
      <c r="R25" s="33">
        <v>0</v>
      </c>
      <c r="S25" s="33">
        <v>0</v>
      </c>
      <c r="T25" s="29">
        <f t="shared" si="6"/>
        <v>29.5</v>
      </c>
      <c r="U25" s="34">
        <f t="shared" si="17"/>
        <v>14274.193548387097</v>
      </c>
      <c r="V25" s="34">
        <v>0</v>
      </c>
      <c r="W25" s="34">
        <v>0</v>
      </c>
      <c r="X25" s="35">
        <f t="shared" si="18"/>
        <v>14274.193548387097</v>
      </c>
      <c r="Y25" s="34">
        <v>0</v>
      </c>
      <c r="Z25" s="34">
        <v>0</v>
      </c>
      <c r="AA25" s="35">
        <v>0</v>
      </c>
      <c r="AB25" s="35">
        <f t="shared" si="7"/>
        <v>14274.193548387097</v>
      </c>
      <c r="AC25" s="36">
        <v>0</v>
      </c>
      <c r="AD25" s="36">
        <v>0</v>
      </c>
      <c r="AE25" s="37">
        <v>0</v>
      </c>
      <c r="AF25" s="38">
        <v>0</v>
      </c>
      <c r="AG25" s="46"/>
      <c r="AH25" s="38"/>
      <c r="AI25" s="46">
        <v>0</v>
      </c>
      <c r="AJ25" s="39">
        <v>750</v>
      </c>
      <c r="AK25" s="40"/>
      <c r="AL25" s="40">
        <v>500</v>
      </c>
      <c r="AM25" s="40">
        <v>1802</v>
      </c>
      <c r="AN25" s="40"/>
      <c r="AO25" s="40">
        <v>1000</v>
      </c>
      <c r="AP25" s="40">
        <v>750</v>
      </c>
      <c r="AQ25" s="40">
        <v>200</v>
      </c>
      <c r="AR25" s="40">
        <v>1250</v>
      </c>
      <c r="AS25" s="40">
        <v>1211</v>
      </c>
      <c r="AT25" s="40">
        <v>1500</v>
      </c>
      <c r="AU25" s="40">
        <v>1250</v>
      </c>
      <c r="AV25" s="40"/>
      <c r="AW25" s="40"/>
      <c r="AX25" s="40">
        <v>1900</v>
      </c>
      <c r="AY25" s="40">
        <v>500</v>
      </c>
      <c r="AZ25" s="40"/>
      <c r="BA25" s="40">
        <v>3000</v>
      </c>
      <c r="BB25" s="40"/>
      <c r="BC25" s="40"/>
      <c r="BD25" s="40"/>
      <c r="BE25" s="40"/>
      <c r="BF25" s="40">
        <v>400</v>
      </c>
      <c r="BG25" s="40">
        <v>1001</v>
      </c>
      <c r="BH25" s="40">
        <v>500</v>
      </c>
      <c r="BI25" s="40"/>
      <c r="BJ25" s="40"/>
      <c r="BK25" s="40"/>
      <c r="BL25" s="40">
        <v>203</v>
      </c>
      <c r="BM25" s="40"/>
      <c r="BN25" s="40"/>
    </row>
    <row r="26" spans="1:66" x14ac:dyDescent="0.25">
      <c r="A26" s="25" t="s">
        <v>102</v>
      </c>
      <c r="B26" s="25" t="s">
        <v>102</v>
      </c>
      <c r="C26" s="26" t="s">
        <v>37</v>
      </c>
      <c r="D26" s="25" t="s">
        <v>65</v>
      </c>
      <c r="E26" s="27">
        <v>30140100031235</v>
      </c>
      <c r="F26" s="26" t="s">
        <v>103</v>
      </c>
      <c r="G26" s="28">
        <v>45377</v>
      </c>
      <c r="H26" s="29">
        <v>12000</v>
      </c>
      <c r="I26" s="30">
        <v>40000</v>
      </c>
      <c r="J26" s="30">
        <v>35000</v>
      </c>
      <c r="K26" s="30">
        <f t="shared" si="15"/>
        <v>36529</v>
      </c>
      <c r="L26" s="31">
        <v>16777</v>
      </c>
      <c r="M26" s="30">
        <v>11201</v>
      </c>
      <c r="N26" s="30">
        <v>8551</v>
      </c>
      <c r="O26" s="44">
        <f t="shared" si="5"/>
        <v>1529</v>
      </c>
      <c r="P26" s="32">
        <f t="shared" si="16"/>
        <v>91.322500000000005</v>
      </c>
      <c r="Q26" s="33">
        <v>29</v>
      </c>
      <c r="R26" s="33">
        <v>0</v>
      </c>
      <c r="S26" s="33">
        <v>0</v>
      </c>
      <c r="T26" s="29">
        <f t="shared" si="6"/>
        <v>29</v>
      </c>
      <c r="U26" s="34">
        <f t="shared" si="17"/>
        <v>11225.806451612903</v>
      </c>
      <c r="V26" s="34">
        <f t="shared" si="8"/>
        <v>152.9</v>
      </c>
      <c r="W26" s="34">
        <v>0</v>
      </c>
      <c r="X26" s="35">
        <f t="shared" si="18"/>
        <v>11378.706451612903</v>
      </c>
      <c r="Y26" s="34">
        <v>0</v>
      </c>
      <c r="Z26" s="34">
        <v>0</v>
      </c>
      <c r="AA26" s="35">
        <v>0</v>
      </c>
      <c r="AB26" s="35">
        <f t="shared" si="7"/>
        <v>11378.706451612903</v>
      </c>
      <c r="AC26" s="36">
        <v>0</v>
      </c>
      <c r="AD26" s="36">
        <v>0</v>
      </c>
      <c r="AE26" s="37">
        <v>0</v>
      </c>
      <c r="AF26" s="38">
        <v>0</v>
      </c>
      <c r="AG26" s="46"/>
      <c r="AH26" s="38"/>
      <c r="AI26" s="46">
        <v>0</v>
      </c>
      <c r="AJ26" s="39">
        <v>2750</v>
      </c>
      <c r="AK26" s="40">
        <v>0</v>
      </c>
      <c r="AL26" s="40">
        <v>100</v>
      </c>
      <c r="AM26" s="40">
        <v>500</v>
      </c>
      <c r="AN26" s="40">
        <v>0</v>
      </c>
      <c r="AO26" s="40">
        <v>5100</v>
      </c>
      <c r="AP26" s="40">
        <v>2000</v>
      </c>
      <c r="AQ26" s="40">
        <v>3000</v>
      </c>
      <c r="AR26" s="40">
        <v>1000</v>
      </c>
      <c r="AS26" s="40">
        <v>3000</v>
      </c>
      <c r="AT26" s="40">
        <v>0</v>
      </c>
      <c r="AU26" s="40">
        <v>0</v>
      </c>
      <c r="AV26" s="40">
        <v>850</v>
      </c>
      <c r="AW26" s="40">
        <v>1000</v>
      </c>
      <c r="AX26" s="40">
        <v>0</v>
      </c>
      <c r="AY26" s="40">
        <v>2000</v>
      </c>
      <c r="AZ26" s="40">
        <v>750</v>
      </c>
      <c r="BA26" s="40">
        <v>0</v>
      </c>
      <c r="BB26" s="40">
        <v>500</v>
      </c>
      <c r="BC26" s="40">
        <v>500</v>
      </c>
      <c r="BD26" s="40">
        <v>1200</v>
      </c>
      <c r="BE26" s="40">
        <v>0</v>
      </c>
      <c r="BF26" s="40">
        <v>1500</v>
      </c>
      <c r="BG26" s="40">
        <v>500</v>
      </c>
      <c r="BH26" s="40">
        <v>252</v>
      </c>
      <c r="BI26" s="40">
        <v>0</v>
      </c>
      <c r="BJ26" s="40">
        <v>1251</v>
      </c>
      <c r="BK26" s="40">
        <v>701</v>
      </c>
      <c r="BL26" s="40">
        <v>975</v>
      </c>
      <c r="BM26" s="40">
        <v>5250</v>
      </c>
      <c r="BN26" s="40">
        <v>1850</v>
      </c>
    </row>
    <row r="27" spans="1:66" x14ac:dyDescent="0.25">
      <c r="A27" s="25" t="s">
        <v>104</v>
      </c>
      <c r="B27" s="25" t="s">
        <v>104</v>
      </c>
      <c r="C27" s="26" t="s">
        <v>37</v>
      </c>
      <c r="D27" s="25" t="s">
        <v>105</v>
      </c>
      <c r="E27" s="27">
        <v>42698963099</v>
      </c>
      <c r="F27" s="26" t="s">
        <v>106</v>
      </c>
      <c r="G27" s="28">
        <v>45552</v>
      </c>
      <c r="H27" s="29">
        <v>17000</v>
      </c>
      <c r="I27" s="30">
        <v>80000</v>
      </c>
      <c r="J27" s="30">
        <v>80000</v>
      </c>
      <c r="K27" s="30">
        <f t="shared" si="15"/>
        <v>30173</v>
      </c>
      <c r="L27" s="31">
        <v>26627</v>
      </c>
      <c r="M27" s="30">
        <v>2000</v>
      </c>
      <c r="N27" s="30">
        <v>1546</v>
      </c>
      <c r="O27" s="30">
        <f t="shared" si="5"/>
        <v>-49827</v>
      </c>
      <c r="P27" s="32">
        <f t="shared" si="16"/>
        <v>37.716250000000002</v>
      </c>
      <c r="Q27" s="33">
        <v>12</v>
      </c>
      <c r="R27" s="33">
        <v>0</v>
      </c>
      <c r="S27" s="33">
        <v>0</v>
      </c>
      <c r="T27" s="29">
        <f t="shared" si="6"/>
        <v>12</v>
      </c>
      <c r="U27" s="34">
        <f t="shared" si="17"/>
        <v>6580.6451612903229</v>
      </c>
      <c r="V27" s="34">
        <v>0</v>
      </c>
      <c r="W27" s="34">
        <v>0</v>
      </c>
      <c r="X27" s="35">
        <f t="shared" si="18"/>
        <v>6580.6451612903229</v>
      </c>
      <c r="Y27" s="34">
        <v>0</v>
      </c>
      <c r="Z27" s="34">
        <v>0</v>
      </c>
      <c r="AA27" s="35">
        <v>0</v>
      </c>
      <c r="AB27" s="35">
        <f t="shared" si="7"/>
        <v>6580.6451612903229</v>
      </c>
      <c r="AC27" s="36">
        <v>0</v>
      </c>
      <c r="AD27" s="36">
        <v>0</v>
      </c>
      <c r="AE27" s="37">
        <v>0</v>
      </c>
      <c r="AF27" s="38">
        <v>0</v>
      </c>
      <c r="AG27" s="46"/>
      <c r="AH27" s="38"/>
      <c r="AI27" s="46">
        <v>0</v>
      </c>
      <c r="AJ27" s="39">
        <v>5300</v>
      </c>
      <c r="AK27" s="40">
        <v>3565</v>
      </c>
      <c r="AL27" s="40">
        <v>5700</v>
      </c>
      <c r="AM27" s="40">
        <v>1500</v>
      </c>
      <c r="AN27" s="40">
        <v>0</v>
      </c>
      <c r="AO27" s="40">
        <v>4000</v>
      </c>
      <c r="AP27" s="40">
        <v>1000</v>
      </c>
      <c r="AQ27" s="40">
        <v>1251</v>
      </c>
      <c r="AR27" s="40">
        <v>5195</v>
      </c>
      <c r="AS27" s="40">
        <v>1561</v>
      </c>
      <c r="AT27" s="40">
        <v>0</v>
      </c>
      <c r="AU27" s="40">
        <v>0</v>
      </c>
      <c r="AV27" s="40">
        <v>0</v>
      </c>
      <c r="AW27" s="40">
        <v>0</v>
      </c>
      <c r="AX27" s="40">
        <v>0</v>
      </c>
      <c r="AY27" s="40">
        <v>101</v>
      </c>
      <c r="AZ27" s="40">
        <v>0</v>
      </c>
      <c r="BA27" s="40">
        <v>1000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0">
        <v>0</v>
      </c>
      <c r="BI27" s="40">
        <v>0</v>
      </c>
      <c r="BJ27" s="40">
        <v>0</v>
      </c>
      <c r="BK27" s="40">
        <v>0</v>
      </c>
      <c r="BL27" s="40">
        <v>0</v>
      </c>
      <c r="BM27" s="40">
        <v>0</v>
      </c>
      <c r="BN27" s="40">
        <v>0</v>
      </c>
    </row>
    <row r="28" spans="1:66" x14ac:dyDescent="0.25">
      <c r="A28" s="25" t="s">
        <v>107</v>
      </c>
      <c r="B28" s="25" t="s">
        <v>108</v>
      </c>
      <c r="C28" s="26" t="s">
        <v>37</v>
      </c>
      <c r="D28" s="25" t="s">
        <v>109</v>
      </c>
      <c r="E28" s="27">
        <v>8645385834</v>
      </c>
      <c r="F28" s="26" t="s">
        <v>110</v>
      </c>
      <c r="G28" s="28">
        <v>46188</v>
      </c>
      <c r="H28" s="29">
        <v>10000</v>
      </c>
      <c r="I28" s="30">
        <v>12000</v>
      </c>
      <c r="J28" s="30">
        <f>H28*2</f>
        <v>20000</v>
      </c>
      <c r="K28" s="30">
        <f t="shared" si="15"/>
        <v>9562</v>
      </c>
      <c r="L28" s="31">
        <v>4600</v>
      </c>
      <c r="M28" s="30">
        <v>4962</v>
      </c>
      <c r="N28" s="30">
        <v>0</v>
      </c>
      <c r="O28" s="30">
        <f t="shared" si="5"/>
        <v>-10438</v>
      </c>
      <c r="P28" s="32">
        <f t="shared" si="16"/>
        <v>79.683333333333337</v>
      </c>
      <c r="Q28" s="33">
        <v>30</v>
      </c>
      <c r="R28" s="33">
        <v>0</v>
      </c>
      <c r="S28" s="33">
        <v>0</v>
      </c>
      <c r="T28" s="29">
        <f t="shared" si="6"/>
        <v>30</v>
      </c>
      <c r="U28" s="34">
        <f t="shared" si="17"/>
        <v>9677.4193548387102</v>
      </c>
      <c r="V28" s="34">
        <v>0</v>
      </c>
      <c r="W28" s="34">
        <v>0</v>
      </c>
      <c r="X28" s="35">
        <f t="shared" si="18"/>
        <v>9677.4193548387102</v>
      </c>
      <c r="Y28" s="34">
        <v>0</v>
      </c>
      <c r="Z28" s="34">
        <v>0</v>
      </c>
      <c r="AA28" s="35">
        <v>0</v>
      </c>
      <c r="AB28" s="35">
        <f t="shared" si="7"/>
        <v>9677.4193548387102</v>
      </c>
      <c r="AC28" s="36">
        <v>0</v>
      </c>
      <c r="AD28" s="36">
        <v>0</v>
      </c>
      <c r="AE28" s="37">
        <v>0</v>
      </c>
      <c r="AF28" s="38">
        <v>0</v>
      </c>
      <c r="AG28" s="46"/>
      <c r="AH28" s="38"/>
      <c r="AI28" s="46">
        <v>0</v>
      </c>
      <c r="AJ28" s="39">
        <v>0</v>
      </c>
      <c r="AK28" s="40">
        <v>1750</v>
      </c>
      <c r="AL28" s="40">
        <v>250</v>
      </c>
      <c r="AM28" s="40">
        <v>101</v>
      </c>
      <c r="AN28" s="40">
        <v>0</v>
      </c>
      <c r="AO28" s="40">
        <v>0</v>
      </c>
      <c r="AP28" s="40">
        <v>1750</v>
      </c>
      <c r="AQ28" s="40">
        <v>200</v>
      </c>
      <c r="AR28" s="40">
        <v>500</v>
      </c>
      <c r="AS28" s="40">
        <v>0</v>
      </c>
      <c r="AT28" s="40">
        <v>0</v>
      </c>
      <c r="AU28" s="40">
        <v>0</v>
      </c>
      <c r="AV28" s="40">
        <v>0</v>
      </c>
      <c r="AW28" s="40">
        <v>0</v>
      </c>
      <c r="AX28" s="40">
        <v>0</v>
      </c>
      <c r="AY28" s="40">
        <v>400</v>
      </c>
      <c r="AZ28" s="40">
        <v>810</v>
      </c>
      <c r="BA28" s="40">
        <v>1151</v>
      </c>
      <c r="BB28" s="40">
        <v>0</v>
      </c>
      <c r="BC28" s="40">
        <v>0</v>
      </c>
      <c r="BD28" s="40">
        <v>22</v>
      </c>
      <c r="BE28" s="40">
        <v>100</v>
      </c>
      <c r="BF28" s="40">
        <v>0</v>
      </c>
      <c r="BG28" s="40">
        <v>350</v>
      </c>
      <c r="BH28" s="40">
        <v>775</v>
      </c>
      <c r="BI28" s="40">
        <v>351</v>
      </c>
      <c r="BJ28" s="40"/>
      <c r="BK28" s="40">
        <v>501</v>
      </c>
      <c r="BL28" s="40">
        <v>100</v>
      </c>
      <c r="BM28" s="40">
        <v>351</v>
      </c>
      <c r="BN28" s="40">
        <v>100</v>
      </c>
    </row>
    <row r="29" spans="1:66" x14ac:dyDescent="0.25">
      <c r="A29" s="25" t="s">
        <v>111</v>
      </c>
      <c r="B29" s="25" t="s">
        <v>112</v>
      </c>
      <c r="C29" s="26" t="s">
        <v>37</v>
      </c>
      <c r="D29" s="25" t="s">
        <v>113</v>
      </c>
      <c r="E29" s="27">
        <v>43538920176</v>
      </c>
      <c r="F29" s="26" t="s">
        <v>114</v>
      </c>
      <c r="G29" s="28">
        <v>46116</v>
      </c>
      <c r="H29" s="29">
        <v>8000</v>
      </c>
      <c r="I29" s="30">
        <v>30000</v>
      </c>
      <c r="J29" s="30">
        <v>35000</v>
      </c>
      <c r="K29" s="30">
        <f t="shared" si="15"/>
        <v>15782</v>
      </c>
      <c r="L29" s="31">
        <v>14981</v>
      </c>
      <c r="M29" s="30">
        <v>801</v>
      </c>
      <c r="N29" s="30">
        <v>0</v>
      </c>
      <c r="O29" s="30">
        <f t="shared" si="5"/>
        <v>-19218</v>
      </c>
      <c r="P29" s="32">
        <f t="shared" si="16"/>
        <v>52.606666666666669</v>
      </c>
      <c r="Q29" s="33">
        <v>30</v>
      </c>
      <c r="R29" s="33">
        <v>0</v>
      </c>
      <c r="S29" s="33">
        <v>0</v>
      </c>
      <c r="T29" s="29">
        <f t="shared" si="6"/>
        <v>30</v>
      </c>
      <c r="U29" s="34">
        <f t="shared" si="17"/>
        <v>7741.9354838709678</v>
      </c>
      <c r="V29" s="34">
        <v>0</v>
      </c>
      <c r="W29" s="34">
        <v>0</v>
      </c>
      <c r="X29" s="35">
        <f>SUM(U29:W29)</f>
        <v>7741.9354838709678</v>
      </c>
      <c r="Y29" s="34">
        <v>0</v>
      </c>
      <c r="Z29" s="34">
        <v>0</v>
      </c>
      <c r="AA29" s="35">
        <v>0</v>
      </c>
      <c r="AB29" s="35">
        <f t="shared" si="7"/>
        <v>7741.9354838709678</v>
      </c>
      <c r="AC29" s="36">
        <v>0</v>
      </c>
      <c r="AD29" s="36">
        <v>0</v>
      </c>
      <c r="AE29" s="37">
        <v>0</v>
      </c>
      <c r="AF29" s="38">
        <v>0</v>
      </c>
      <c r="AG29" s="46"/>
      <c r="AH29" s="38"/>
      <c r="AI29" s="46">
        <v>0</v>
      </c>
      <c r="AJ29" s="39">
        <v>0</v>
      </c>
      <c r="AK29" s="40">
        <v>0</v>
      </c>
      <c r="AL29" s="40">
        <v>251</v>
      </c>
      <c r="AM29" s="40">
        <v>1000</v>
      </c>
      <c r="AN29" s="40">
        <v>0</v>
      </c>
      <c r="AO29" s="40">
        <v>450</v>
      </c>
      <c r="AP29" s="40">
        <v>500</v>
      </c>
      <c r="AQ29" s="40">
        <v>0</v>
      </c>
      <c r="AR29" s="40">
        <v>101</v>
      </c>
      <c r="AS29" s="40">
        <v>0</v>
      </c>
      <c r="AT29" s="40">
        <v>500</v>
      </c>
      <c r="AU29" s="40">
        <v>300</v>
      </c>
      <c r="AV29" s="40">
        <v>0</v>
      </c>
      <c r="AW29" s="40">
        <v>251</v>
      </c>
      <c r="AX29" s="40">
        <v>1402</v>
      </c>
      <c r="AY29" s="40">
        <v>221</v>
      </c>
      <c r="AZ29" s="40">
        <v>450</v>
      </c>
      <c r="BA29" s="40">
        <v>701</v>
      </c>
      <c r="BB29" s="40">
        <v>0</v>
      </c>
      <c r="BC29" s="40">
        <v>350</v>
      </c>
      <c r="BD29" s="40">
        <v>600</v>
      </c>
      <c r="BE29" s="40">
        <v>652</v>
      </c>
      <c r="BF29" s="40">
        <v>250</v>
      </c>
      <c r="BG29" s="40">
        <v>250</v>
      </c>
      <c r="BH29" s="40">
        <v>250</v>
      </c>
      <c r="BI29" s="40">
        <v>552</v>
      </c>
      <c r="BJ29" s="40">
        <v>5000</v>
      </c>
      <c r="BK29" s="40">
        <v>250</v>
      </c>
      <c r="BL29" s="40">
        <v>450</v>
      </c>
      <c r="BM29" s="40">
        <v>0</v>
      </c>
      <c r="BN29" s="40">
        <v>1051</v>
      </c>
    </row>
    <row r="30" spans="1:66" x14ac:dyDescent="0.25">
      <c r="A30" s="25" t="s">
        <v>115</v>
      </c>
      <c r="B30" s="25" t="s">
        <v>116</v>
      </c>
      <c r="C30" s="26" t="s">
        <v>37</v>
      </c>
      <c r="D30" s="25" t="s">
        <v>86</v>
      </c>
      <c r="E30" s="27">
        <v>4849785524</v>
      </c>
      <c r="F30" s="26" t="s">
        <v>117</v>
      </c>
      <c r="G30" s="28">
        <v>45908</v>
      </c>
      <c r="H30" s="29">
        <v>15000</v>
      </c>
      <c r="I30" s="30">
        <f>H30*4</f>
        <v>60000</v>
      </c>
      <c r="J30" s="30">
        <v>65000</v>
      </c>
      <c r="K30" s="30">
        <f t="shared" si="15"/>
        <v>29505</v>
      </c>
      <c r="L30" s="31">
        <v>0</v>
      </c>
      <c r="M30" s="30">
        <v>27254</v>
      </c>
      <c r="N30" s="30">
        <v>2251</v>
      </c>
      <c r="O30" s="30">
        <f t="shared" si="5"/>
        <v>-35495</v>
      </c>
      <c r="P30" s="32">
        <f t="shared" si="16"/>
        <v>49.174999999999997</v>
      </c>
      <c r="Q30" s="33">
        <v>29</v>
      </c>
      <c r="R30" s="33">
        <v>0</v>
      </c>
      <c r="S30" s="33">
        <v>0</v>
      </c>
      <c r="T30" s="29">
        <f t="shared" si="6"/>
        <v>29</v>
      </c>
      <c r="U30" s="34">
        <f t="shared" si="17"/>
        <v>14032.258064516129</v>
      </c>
      <c r="V30" s="34">
        <v>0</v>
      </c>
      <c r="W30" s="34">
        <v>0</v>
      </c>
      <c r="X30" s="35">
        <f>SUM(U30:W30)</f>
        <v>14032.258064516129</v>
      </c>
      <c r="Y30" s="34">
        <v>0</v>
      </c>
      <c r="Z30" s="34">
        <v>0</v>
      </c>
      <c r="AA30" s="35">
        <v>0</v>
      </c>
      <c r="AB30" s="35">
        <f t="shared" si="7"/>
        <v>14032.258064516129</v>
      </c>
      <c r="AC30" s="36">
        <v>0</v>
      </c>
      <c r="AD30" s="36">
        <v>0</v>
      </c>
      <c r="AE30" s="37">
        <v>0</v>
      </c>
      <c r="AF30" s="38">
        <v>0</v>
      </c>
      <c r="AG30" s="37"/>
      <c r="AH30" s="38"/>
      <c r="AI30" s="37">
        <v>0</v>
      </c>
      <c r="AJ30" s="39">
        <v>3000</v>
      </c>
      <c r="AK30" s="40">
        <v>800</v>
      </c>
      <c r="AL30" s="40">
        <v>300</v>
      </c>
      <c r="AM30" s="40">
        <v>750</v>
      </c>
      <c r="AN30" s="40">
        <v>0</v>
      </c>
      <c r="AO30" s="40">
        <v>2250</v>
      </c>
      <c r="AP30" s="40">
        <v>901</v>
      </c>
      <c r="AQ30" s="40">
        <v>1251</v>
      </c>
      <c r="AR30" s="40">
        <v>1000</v>
      </c>
      <c r="AS30" s="40">
        <v>1000</v>
      </c>
      <c r="AT30" s="40">
        <v>250</v>
      </c>
      <c r="AU30" s="40">
        <v>300</v>
      </c>
      <c r="AV30" s="40">
        <v>500</v>
      </c>
      <c r="AW30" s="40">
        <v>500</v>
      </c>
      <c r="AX30" s="40">
        <v>750</v>
      </c>
      <c r="AY30" s="40">
        <v>501</v>
      </c>
      <c r="AZ30" s="40">
        <v>1</v>
      </c>
      <c r="BA30" s="40">
        <v>1000</v>
      </c>
      <c r="BB30" s="40">
        <v>0</v>
      </c>
      <c r="BC30" s="40">
        <v>1000</v>
      </c>
      <c r="BD30" s="40">
        <v>0</v>
      </c>
      <c r="BE30" s="40">
        <v>1000</v>
      </c>
      <c r="BF30" s="40">
        <v>0</v>
      </c>
      <c r="BG30" s="40">
        <v>3500</v>
      </c>
      <c r="BH30" s="40">
        <v>1851</v>
      </c>
      <c r="BI30" s="40">
        <v>500</v>
      </c>
      <c r="BJ30" s="40">
        <v>500</v>
      </c>
      <c r="BK30" s="40">
        <v>500</v>
      </c>
      <c r="BL30" s="40">
        <v>2200</v>
      </c>
      <c r="BM30" s="40">
        <v>2500</v>
      </c>
      <c r="BN30" s="40">
        <v>900</v>
      </c>
    </row>
    <row r="31" spans="1:66" x14ac:dyDescent="0.25">
      <c r="A31" s="25" t="s">
        <v>118</v>
      </c>
      <c r="B31" s="25" t="s">
        <v>119</v>
      </c>
      <c r="C31" s="26" t="s">
        <v>37</v>
      </c>
      <c r="D31" s="25" t="s">
        <v>38</v>
      </c>
      <c r="E31" s="27">
        <v>520101261934767</v>
      </c>
      <c r="F31" s="26" t="s">
        <v>120</v>
      </c>
      <c r="G31" s="28">
        <v>45085</v>
      </c>
      <c r="H31" s="29">
        <v>17000</v>
      </c>
      <c r="I31" s="30">
        <v>85000</v>
      </c>
      <c r="J31" s="30">
        <v>70000</v>
      </c>
      <c r="K31" s="30">
        <f t="shared" si="15"/>
        <v>44206</v>
      </c>
      <c r="L31" s="31">
        <v>28351</v>
      </c>
      <c r="M31" s="30">
        <v>12655</v>
      </c>
      <c r="N31" s="30">
        <v>3200</v>
      </c>
      <c r="O31" s="30">
        <f t="shared" si="5"/>
        <v>-25794</v>
      </c>
      <c r="P31" s="32">
        <f t="shared" si="16"/>
        <v>52.007058823529412</v>
      </c>
      <c r="Q31" s="33">
        <v>30</v>
      </c>
      <c r="R31" s="33">
        <v>0</v>
      </c>
      <c r="S31" s="33">
        <v>0</v>
      </c>
      <c r="T31" s="29">
        <f t="shared" si="6"/>
        <v>30</v>
      </c>
      <c r="U31" s="34">
        <f t="shared" si="17"/>
        <v>16451.612903225807</v>
      </c>
      <c r="V31" s="34">
        <v>0</v>
      </c>
      <c r="W31" s="34">
        <v>0</v>
      </c>
      <c r="X31" s="35">
        <f>SUM(U31:W31)</f>
        <v>16451.612903225807</v>
      </c>
      <c r="Y31" s="34">
        <v>0</v>
      </c>
      <c r="Z31" s="34">
        <v>0</v>
      </c>
      <c r="AA31" s="35">
        <v>0</v>
      </c>
      <c r="AB31" s="35">
        <f t="shared" si="7"/>
        <v>16451.612903225807</v>
      </c>
      <c r="AC31" s="36">
        <v>0</v>
      </c>
      <c r="AD31" s="36">
        <v>0</v>
      </c>
      <c r="AE31" s="37">
        <v>0</v>
      </c>
      <c r="AF31" s="38">
        <v>0</v>
      </c>
      <c r="AG31" s="37"/>
      <c r="AH31" s="38"/>
      <c r="AI31" s="37">
        <v>0</v>
      </c>
      <c r="AJ31" s="39">
        <v>0</v>
      </c>
      <c r="AK31" s="40">
        <v>1450</v>
      </c>
      <c r="AL31" s="40">
        <v>2303</v>
      </c>
      <c r="AM31" s="40">
        <v>3550</v>
      </c>
      <c r="AN31" s="40">
        <v>0</v>
      </c>
      <c r="AO31" s="40">
        <v>1550</v>
      </c>
      <c r="AP31" s="40">
        <v>6250</v>
      </c>
      <c r="AQ31" s="40">
        <v>200</v>
      </c>
      <c r="AR31" s="40">
        <v>1500</v>
      </c>
      <c r="AS31" s="40">
        <v>750</v>
      </c>
      <c r="AT31" s="40">
        <v>2700</v>
      </c>
      <c r="AU31" s="40">
        <v>0</v>
      </c>
      <c r="AV31" s="40">
        <v>200</v>
      </c>
      <c r="AW31" s="40">
        <v>2000</v>
      </c>
      <c r="AX31" s="40">
        <v>4400</v>
      </c>
      <c r="AY31" s="40">
        <v>1900</v>
      </c>
      <c r="AZ31" s="40">
        <v>2000</v>
      </c>
      <c r="BA31" s="40">
        <v>751</v>
      </c>
      <c r="BB31" s="40">
        <v>250</v>
      </c>
      <c r="BC31" s="40">
        <v>1700</v>
      </c>
      <c r="BD31" s="40">
        <v>200</v>
      </c>
      <c r="BE31" s="40">
        <v>250</v>
      </c>
      <c r="BF31" s="40">
        <v>1000</v>
      </c>
      <c r="BG31" s="40">
        <v>1850</v>
      </c>
      <c r="BH31" s="40">
        <v>2500</v>
      </c>
      <c r="BI31" s="40">
        <v>1251</v>
      </c>
      <c r="BJ31" s="40">
        <v>100</v>
      </c>
      <c r="BK31" s="40">
        <v>750</v>
      </c>
      <c r="BL31" s="40">
        <v>800</v>
      </c>
      <c r="BM31" s="40">
        <v>500</v>
      </c>
      <c r="BN31" s="40">
        <v>1551</v>
      </c>
    </row>
    <row r="32" spans="1:66" x14ac:dyDescent="0.25">
      <c r="A32" s="25" t="s">
        <v>121</v>
      </c>
      <c r="B32" s="25" t="s">
        <v>121</v>
      </c>
      <c r="C32" s="26" t="s">
        <v>37</v>
      </c>
      <c r="D32" s="25" t="s">
        <v>122</v>
      </c>
      <c r="E32" s="27">
        <v>99880100021913</v>
      </c>
      <c r="F32" s="26" t="s">
        <v>123</v>
      </c>
      <c r="G32" s="28">
        <v>46023</v>
      </c>
      <c r="H32" s="29">
        <v>12000</v>
      </c>
      <c r="I32" s="30">
        <v>45000</v>
      </c>
      <c r="J32" s="30">
        <v>35000</v>
      </c>
      <c r="K32" s="30">
        <f>SUM(AJ32:BN32)</f>
        <v>25607</v>
      </c>
      <c r="L32" s="31">
        <v>4152</v>
      </c>
      <c r="M32" s="30">
        <v>21455</v>
      </c>
      <c r="N32" s="30">
        <v>0</v>
      </c>
      <c r="O32" s="30">
        <f t="shared" si="5"/>
        <v>-9393</v>
      </c>
      <c r="P32" s="32">
        <f t="shared" si="16"/>
        <v>56.904444444444444</v>
      </c>
      <c r="Q32" s="33">
        <v>29</v>
      </c>
      <c r="R32" s="33">
        <v>0</v>
      </c>
      <c r="S32" s="33">
        <v>0</v>
      </c>
      <c r="T32" s="29">
        <f t="shared" si="6"/>
        <v>29</v>
      </c>
      <c r="U32" s="34">
        <f t="shared" si="17"/>
        <v>11225.806451612903</v>
      </c>
      <c r="V32" s="34">
        <v>0</v>
      </c>
      <c r="W32" s="34">
        <v>0</v>
      </c>
      <c r="X32" s="35">
        <f>SUM(U32:W32)</f>
        <v>11225.806451612903</v>
      </c>
      <c r="Y32" s="34">
        <v>0</v>
      </c>
      <c r="Z32" s="34">
        <v>0</v>
      </c>
      <c r="AA32" s="35">
        <v>0</v>
      </c>
      <c r="AB32" s="35">
        <f t="shared" si="7"/>
        <v>11225.806451612903</v>
      </c>
      <c r="AC32" s="36">
        <v>0</v>
      </c>
      <c r="AD32" s="36">
        <v>0</v>
      </c>
      <c r="AE32" s="37">
        <v>0</v>
      </c>
      <c r="AF32" s="38">
        <v>0</v>
      </c>
      <c r="AG32" s="46"/>
      <c r="AH32" s="38"/>
      <c r="AI32" s="46">
        <v>0</v>
      </c>
      <c r="AJ32" s="39">
        <v>201</v>
      </c>
      <c r="AK32" s="40">
        <v>852</v>
      </c>
      <c r="AL32" s="40">
        <v>0</v>
      </c>
      <c r="AM32" s="40">
        <v>1000</v>
      </c>
      <c r="AN32" s="40">
        <v>0</v>
      </c>
      <c r="AO32" s="40">
        <v>0</v>
      </c>
      <c r="AP32" s="40">
        <v>500</v>
      </c>
      <c r="AQ32" s="40">
        <v>500</v>
      </c>
      <c r="AR32" s="40">
        <v>2250</v>
      </c>
      <c r="AS32" s="40">
        <v>500</v>
      </c>
      <c r="AT32" s="40">
        <v>0</v>
      </c>
      <c r="AU32" s="40">
        <v>0</v>
      </c>
      <c r="AV32" s="40">
        <v>500</v>
      </c>
      <c r="AW32" s="40">
        <v>1200</v>
      </c>
      <c r="AX32" s="40">
        <v>1150</v>
      </c>
      <c r="AY32" s="40">
        <v>300</v>
      </c>
      <c r="AZ32" s="40">
        <v>1750</v>
      </c>
      <c r="BA32" s="40">
        <v>1250</v>
      </c>
      <c r="BB32" s="40">
        <v>0</v>
      </c>
      <c r="BC32" s="40">
        <v>1500</v>
      </c>
      <c r="BD32" s="40">
        <v>0</v>
      </c>
      <c r="BE32" s="40">
        <v>250</v>
      </c>
      <c r="BF32" s="40">
        <v>250</v>
      </c>
      <c r="BG32" s="40">
        <v>2902</v>
      </c>
      <c r="BH32" s="40">
        <v>3201</v>
      </c>
      <c r="BI32" s="40">
        <v>1000</v>
      </c>
      <c r="BJ32" s="40">
        <v>200</v>
      </c>
      <c r="BK32" s="40">
        <v>2400</v>
      </c>
      <c r="BL32" s="40">
        <v>500</v>
      </c>
      <c r="BM32" s="40">
        <v>750</v>
      </c>
      <c r="BN32" s="40">
        <v>701</v>
      </c>
    </row>
    <row r="33" spans="1:66" s="24" customFormat="1" x14ac:dyDescent="0.25">
      <c r="A33" s="17" t="s">
        <v>124</v>
      </c>
      <c r="B33" s="17"/>
      <c r="C33" s="18"/>
      <c r="D33" s="17"/>
      <c r="E33" s="19"/>
      <c r="F33" s="18"/>
      <c r="G33" s="20"/>
      <c r="H33" s="21">
        <f t="shared" ref="H33:S33" si="19">SUM(H34:H39)</f>
        <v>84000</v>
      </c>
      <c r="I33" s="21">
        <f t="shared" si="19"/>
        <v>448000</v>
      </c>
      <c r="J33" s="21">
        <f t="shared" si="19"/>
        <v>455000</v>
      </c>
      <c r="K33" s="21">
        <f t="shared" si="19"/>
        <v>248470</v>
      </c>
      <c r="L33" s="22">
        <f t="shared" si="19"/>
        <v>86459</v>
      </c>
      <c r="M33" s="21">
        <f t="shared" si="19"/>
        <v>142237</v>
      </c>
      <c r="N33" s="21">
        <f t="shared" si="19"/>
        <v>19774</v>
      </c>
      <c r="O33" s="21">
        <f t="shared" si="5"/>
        <v>-206530</v>
      </c>
      <c r="P33" s="23">
        <f t="shared" si="19"/>
        <v>311.07727605552344</v>
      </c>
      <c r="Q33" s="22">
        <f t="shared" si="19"/>
        <v>176.5</v>
      </c>
      <c r="R33" s="22">
        <f t="shared" si="19"/>
        <v>0</v>
      </c>
      <c r="S33" s="22">
        <f t="shared" si="19"/>
        <v>0</v>
      </c>
      <c r="T33" s="22">
        <f t="shared" si="6"/>
        <v>176.5</v>
      </c>
      <c r="U33" s="22">
        <f t="shared" ref="U33:BN33" si="20">SUM(U34:U39)</f>
        <v>79741.93548387097</v>
      </c>
      <c r="V33" s="22">
        <f t="shared" si="20"/>
        <v>0</v>
      </c>
      <c r="W33" s="22">
        <f t="shared" si="20"/>
        <v>0</v>
      </c>
      <c r="X33" s="22">
        <f t="shared" si="20"/>
        <v>79741.93548387097</v>
      </c>
      <c r="Y33" s="22">
        <f t="shared" si="20"/>
        <v>0</v>
      </c>
      <c r="Z33" s="22">
        <f t="shared" si="20"/>
        <v>0</v>
      </c>
      <c r="AA33" s="22">
        <f t="shared" si="20"/>
        <v>0</v>
      </c>
      <c r="AB33" s="22">
        <f t="shared" si="7"/>
        <v>79741.93548387097</v>
      </c>
      <c r="AC33" s="22">
        <f t="shared" si="20"/>
        <v>0</v>
      </c>
      <c r="AD33" s="22">
        <f t="shared" si="20"/>
        <v>0</v>
      </c>
      <c r="AE33" s="22">
        <f t="shared" si="20"/>
        <v>0</v>
      </c>
      <c r="AF33" s="22">
        <f t="shared" si="20"/>
        <v>0</v>
      </c>
      <c r="AG33" s="22">
        <f t="shared" si="20"/>
        <v>0</v>
      </c>
      <c r="AH33" s="22">
        <f t="shared" si="20"/>
        <v>0</v>
      </c>
      <c r="AI33" s="22">
        <f t="shared" si="20"/>
        <v>0</v>
      </c>
      <c r="AJ33" s="22">
        <f t="shared" si="20"/>
        <v>11927</v>
      </c>
      <c r="AK33" s="22">
        <f t="shared" si="20"/>
        <v>15275</v>
      </c>
      <c r="AL33" s="22">
        <f t="shared" si="20"/>
        <v>12350</v>
      </c>
      <c r="AM33" s="22">
        <f t="shared" si="20"/>
        <v>6851</v>
      </c>
      <c r="AN33" s="22">
        <f t="shared" si="20"/>
        <v>200</v>
      </c>
      <c r="AO33" s="22">
        <f t="shared" si="20"/>
        <v>11599</v>
      </c>
      <c r="AP33" s="22">
        <f t="shared" si="20"/>
        <v>11051</v>
      </c>
      <c r="AQ33" s="22">
        <f t="shared" si="20"/>
        <v>15104</v>
      </c>
      <c r="AR33" s="22">
        <f t="shared" si="20"/>
        <v>11365</v>
      </c>
      <c r="AS33" s="22">
        <f t="shared" si="20"/>
        <v>15001</v>
      </c>
      <c r="AT33" s="22">
        <f t="shared" si="20"/>
        <v>9102</v>
      </c>
      <c r="AU33" s="22">
        <f t="shared" si="20"/>
        <v>200</v>
      </c>
      <c r="AV33" s="22">
        <f t="shared" si="20"/>
        <v>12502</v>
      </c>
      <c r="AW33" s="22">
        <f t="shared" si="20"/>
        <v>7399</v>
      </c>
      <c r="AX33" s="22">
        <f t="shared" si="20"/>
        <v>8060</v>
      </c>
      <c r="AY33" s="22">
        <f t="shared" si="20"/>
        <v>6871</v>
      </c>
      <c r="AZ33" s="22">
        <f t="shared" si="20"/>
        <v>11602</v>
      </c>
      <c r="BA33" s="22">
        <f t="shared" si="20"/>
        <v>12872</v>
      </c>
      <c r="BB33" s="22">
        <f t="shared" si="20"/>
        <v>0</v>
      </c>
      <c r="BC33" s="22">
        <f t="shared" si="20"/>
        <v>6033</v>
      </c>
      <c r="BD33" s="22">
        <f t="shared" si="20"/>
        <v>12901</v>
      </c>
      <c r="BE33" s="22">
        <f t="shared" si="20"/>
        <v>10026</v>
      </c>
      <c r="BF33" s="22">
        <f t="shared" si="20"/>
        <v>4205</v>
      </c>
      <c r="BG33" s="22">
        <f t="shared" si="20"/>
        <v>3552</v>
      </c>
      <c r="BH33" s="22">
        <f t="shared" si="20"/>
        <v>10014</v>
      </c>
      <c r="BI33" s="21">
        <f t="shared" si="20"/>
        <v>3504</v>
      </c>
      <c r="BJ33" s="21">
        <f t="shared" si="20"/>
        <v>3550</v>
      </c>
      <c r="BK33" s="21">
        <f t="shared" si="20"/>
        <v>4653</v>
      </c>
      <c r="BL33" s="21">
        <f t="shared" si="20"/>
        <v>2250</v>
      </c>
      <c r="BM33" s="21">
        <f t="shared" si="20"/>
        <v>4351</v>
      </c>
      <c r="BN33" s="21">
        <f t="shared" si="20"/>
        <v>4100</v>
      </c>
    </row>
    <row r="34" spans="1:66" x14ac:dyDescent="0.25">
      <c r="A34" s="25" t="s">
        <v>125</v>
      </c>
      <c r="B34" s="25" t="s">
        <v>125</v>
      </c>
      <c r="C34" s="26" t="s">
        <v>126</v>
      </c>
      <c r="D34" s="25" t="s">
        <v>127</v>
      </c>
      <c r="E34" s="27">
        <v>40790323330</v>
      </c>
      <c r="F34" s="26" t="s">
        <v>128</v>
      </c>
      <c r="G34" s="28">
        <v>44865</v>
      </c>
      <c r="H34" s="29">
        <v>16000</v>
      </c>
      <c r="I34" s="30">
        <v>125000</v>
      </c>
      <c r="J34" s="30">
        <v>135000</v>
      </c>
      <c r="K34" s="30">
        <f t="shared" ref="K34:K39" si="21">SUM(AJ34:BN34)</f>
        <v>61579</v>
      </c>
      <c r="L34" s="31">
        <v>55078</v>
      </c>
      <c r="M34" s="30">
        <v>2001</v>
      </c>
      <c r="N34" s="30">
        <v>4500</v>
      </c>
      <c r="O34" s="30">
        <f t="shared" si="5"/>
        <v>-73421</v>
      </c>
      <c r="P34" s="32">
        <f t="shared" ref="P34:P39" si="22">K34*100/I34</f>
        <v>49.263199999999998</v>
      </c>
      <c r="Q34" s="33">
        <v>30</v>
      </c>
      <c r="R34" s="33">
        <v>0</v>
      </c>
      <c r="S34" s="33">
        <v>0</v>
      </c>
      <c r="T34" s="29">
        <f t="shared" si="6"/>
        <v>30</v>
      </c>
      <c r="U34" s="34">
        <f t="shared" ref="U34:U39" si="23">H34*T34/31</f>
        <v>15483.870967741936</v>
      </c>
      <c r="V34" s="34">
        <v>0</v>
      </c>
      <c r="W34" s="34">
        <v>0</v>
      </c>
      <c r="X34" s="35">
        <f t="shared" ref="X34:X39" si="24">SUM(U34:W34)</f>
        <v>15483.870967741936</v>
      </c>
      <c r="Y34" s="34">
        <v>0</v>
      </c>
      <c r="Z34" s="34">
        <v>0</v>
      </c>
      <c r="AA34" s="35">
        <v>0</v>
      </c>
      <c r="AB34" s="35">
        <f t="shared" si="7"/>
        <v>15483.870967741936</v>
      </c>
      <c r="AC34" s="36">
        <v>0</v>
      </c>
      <c r="AD34" s="36">
        <v>0</v>
      </c>
      <c r="AE34" s="37">
        <v>0</v>
      </c>
      <c r="AF34" s="38">
        <v>0</v>
      </c>
      <c r="AG34" s="46"/>
      <c r="AH34" s="38"/>
      <c r="AI34" s="46">
        <v>0</v>
      </c>
      <c r="AJ34" s="39">
        <v>5375</v>
      </c>
      <c r="AK34" s="40">
        <v>9125</v>
      </c>
      <c r="AL34" s="40">
        <v>6500</v>
      </c>
      <c r="AM34" s="40">
        <v>0</v>
      </c>
      <c r="AN34" s="40">
        <v>0</v>
      </c>
      <c r="AO34" s="40">
        <v>2500</v>
      </c>
      <c r="AP34" s="40">
        <v>0</v>
      </c>
      <c r="AQ34" s="40">
        <v>7000</v>
      </c>
      <c r="AR34" s="40">
        <v>4000</v>
      </c>
      <c r="AS34" s="40">
        <v>3900</v>
      </c>
      <c r="AT34" s="40">
        <v>2301</v>
      </c>
      <c r="AU34" s="40">
        <v>100</v>
      </c>
      <c r="AV34" s="40">
        <v>2151</v>
      </c>
      <c r="AW34" s="40">
        <v>3251</v>
      </c>
      <c r="AX34" s="40">
        <v>2201</v>
      </c>
      <c r="AY34" s="40">
        <v>700</v>
      </c>
      <c r="AZ34" s="40">
        <v>1600</v>
      </c>
      <c r="BA34" s="40">
        <v>0</v>
      </c>
      <c r="BB34" s="40">
        <v>0</v>
      </c>
      <c r="BC34" s="40">
        <v>350</v>
      </c>
      <c r="BD34" s="40">
        <v>3100</v>
      </c>
      <c r="BE34" s="40">
        <v>725</v>
      </c>
      <c r="BF34" s="40">
        <v>0</v>
      </c>
      <c r="BG34" s="40">
        <v>300</v>
      </c>
      <c r="BH34" s="40">
        <v>2400</v>
      </c>
      <c r="BI34" s="40">
        <v>1000</v>
      </c>
      <c r="BJ34" s="40">
        <v>1250</v>
      </c>
      <c r="BK34" s="40">
        <v>0</v>
      </c>
      <c r="BL34" s="40">
        <v>1250</v>
      </c>
      <c r="BM34" s="40">
        <v>500</v>
      </c>
      <c r="BN34" s="40">
        <v>0</v>
      </c>
    </row>
    <row r="35" spans="1:66" x14ac:dyDescent="0.25">
      <c r="A35" s="25" t="s">
        <v>129</v>
      </c>
      <c r="B35" s="25" t="s">
        <v>130</v>
      </c>
      <c r="C35" s="26" t="s">
        <v>37</v>
      </c>
      <c r="D35" s="25" t="s">
        <v>86</v>
      </c>
      <c r="E35" s="27">
        <v>4345756271</v>
      </c>
      <c r="F35" s="26" t="s">
        <v>87</v>
      </c>
      <c r="G35" s="28">
        <v>45941</v>
      </c>
      <c r="H35" s="29">
        <v>14000</v>
      </c>
      <c r="I35" s="30">
        <v>60000</v>
      </c>
      <c r="J35" s="30">
        <v>40000</v>
      </c>
      <c r="K35" s="30">
        <f t="shared" si="21"/>
        <v>22106</v>
      </c>
      <c r="L35" s="31">
        <v>2350</v>
      </c>
      <c r="M35" s="30">
        <v>15356</v>
      </c>
      <c r="N35" s="30">
        <v>4400</v>
      </c>
      <c r="O35" s="30">
        <f t="shared" si="5"/>
        <v>-17894</v>
      </c>
      <c r="P35" s="32">
        <f t="shared" si="22"/>
        <v>36.843333333333334</v>
      </c>
      <c r="Q35" s="33">
        <v>27.5</v>
      </c>
      <c r="R35" s="33">
        <v>0</v>
      </c>
      <c r="S35" s="33">
        <v>0</v>
      </c>
      <c r="T35" s="29">
        <f t="shared" si="6"/>
        <v>27.5</v>
      </c>
      <c r="U35" s="34">
        <f t="shared" si="23"/>
        <v>12419.354838709678</v>
      </c>
      <c r="V35" s="34">
        <v>0</v>
      </c>
      <c r="W35" s="34">
        <v>0</v>
      </c>
      <c r="X35" s="35">
        <f t="shared" si="24"/>
        <v>12419.354838709678</v>
      </c>
      <c r="Y35" s="34">
        <v>0</v>
      </c>
      <c r="Z35" s="34">
        <v>0</v>
      </c>
      <c r="AA35" s="35">
        <v>0</v>
      </c>
      <c r="AB35" s="35">
        <f t="shared" si="7"/>
        <v>12419.354838709678</v>
      </c>
      <c r="AC35" s="36">
        <v>0</v>
      </c>
      <c r="AD35" s="36">
        <v>0</v>
      </c>
      <c r="AE35" s="37">
        <v>0</v>
      </c>
      <c r="AF35" s="38">
        <v>0</v>
      </c>
      <c r="AG35" s="46"/>
      <c r="AH35" s="38"/>
      <c r="AI35" s="46">
        <v>0</v>
      </c>
      <c r="AJ35" s="39">
        <v>0</v>
      </c>
      <c r="AK35" s="40">
        <v>700</v>
      </c>
      <c r="AL35" s="40">
        <v>2250</v>
      </c>
      <c r="AM35" s="40">
        <v>1000</v>
      </c>
      <c r="AN35" s="40">
        <v>0</v>
      </c>
      <c r="AO35" s="40">
        <v>250</v>
      </c>
      <c r="AP35" s="40">
        <v>1150</v>
      </c>
      <c r="AQ35" s="40">
        <v>450</v>
      </c>
      <c r="AR35" s="40">
        <v>1551</v>
      </c>
      <c r="AS35" s="40">
        <v>1000</v>
      </c>
      <c r="AT35" s="40">
        <v>0</v>
      </c>
      <c r="AU35" s="40">
        <v>0</v>
      </c>
      <c r="AV35" s="40">
        <v>351</v>
      </c>
      <c r="AW35" s="40">
        <v>450</v>
      </c>
      <c r="AX35" s="40">
        <v>200</v>
      </c>
      <c r="AY35" s="40">
        <v>750</v>
      </c>
      <c r="AZ35" s="40">
        <v>1650</v>
      </c>
      <c r="BA35" s="40">
        <v>500</v>
      </c>
      <c r="BB35" s="40">
        <v>0</v>
      </c>
      <c r="BC35" s="40">
        <v>1750</v>
      </c>
      <c r="BD35" s="40">
        <v>2100</v>
      </c>
      <c r="BE35" s="40">
        <v>950</v>
      </c>
      <c r="BF35" s="40">
        <v>652</v>
      </c>
      <c r="BG35" s="40">
        <v>901</v>
      </c>
      <c r="BH35" s="40">
        <v>1700</v>
      </c>
      <c r="BI35" s="40">
        <v>551</v>
      </c>
      <c r="BJ35" s="40">
        <v>0</v>
      </c>
      <c r="BK35" s="40">
        <v>1000</v>
      </c>
      <c r="BL35" s="40">
        <v>250</v>
      </c>
      <c r="BM35" s="40">
        <v>0</v>
      </c>
      <c r="BN35" s="40">
        <v>0</v>
      </c>
    </row>
    <row r="36" spans="1:66" x14ac:dyDescent="0.25">
      <c r="A36" s="25" t="s">
        <v>131</v>
      </c>
      <c r="B36" s="25" t="s">
        <v>132</v>
      </c>
      <c r="C36" s="26" t="s">
        <v>37</v>
      </c>
      <c r="D36" s="25" t="s">
        <v>127</v>
      </c>
      <c r="E36" s="27">
        <v>43446914837</v>
      </c>
      <c r="F36" s="26" t="s">
        <v>133</v>
      </c>
      <c r="G36" s="28">
        <v>46118</v>
      </c>
      <c r="H36" s="29">
        <v>12000</v>
      </c>
      <c r="I36" s="30">
        <v>40000</v>
      </c>
      <c r="J36" s="30">
        <v>40000</v>
      </c>
      <c r="K36" s="30">
        <f t="shared" si="21"/>
        <v>17031</v>
      </c>
      <c r="L36" s="31">
        <v>15781</v>
      </c>
      <c r="M36" s="30">
        <v>1250</v>
      </c>
      <c r="N36" s="30">
        <v>0</v>
      </c>
      <c r="O36" s="30">
        <f t="shared" si="5"/>
        <v>-22969</v>
      </c>
      <c r="P36" s="32">
        <f t="shared" si="22"/>
        <v>42.577500000000001</v>
      </c>
      <c r="Q36" s="33">
        <v>30</v>
      </c>
      <c r="R36" s="33">
        <v>0</v>
      </c>
      <c r="S36" s="33">
        <v>0</v>
      </c>
      <c r="T36" s="29">
        <f t="shared" si="6"/>
        <v>30</v>
      </c>
      <c r="U36" s="34">
        <f t="shared" si="23"/>
        <v>11612.903225806451</v>
      </c>
      <c r="V36" s="34">
        <v>0</v>
      </c>
      <c r="W36" s="34">
        <v>0</v>
      </c>
      <c r="X36" s="35">
        <f t="shared" si="24"/>
        <v>11612.903225806451</v>
      </c>
      <c r="Y36" s="34">
        <v>0</v>
      </c>
      <c r="Z36" s="34">
        <v>0</v>
      </c>
      <c r="AA36" s="35">
        <v>0</v>
      </c>
      <c r="AB36" s="35">
        <f t="shared" si="7"/>
        <v>11612.903225806451</v>
      </c>
      <c r="AC36" s="36">
        <v>0</v>
      </c>
      <c r="AD36" s="36">
        <v>0</v>
      </c>
      <c r="AE36" s="37">
        <v>0</v>
      </c>
      <c r="AF36" s="38">
        <v>0</v>
      </c>
      <c r="AG36" s="46"/>
      <c r="AH36" s="38"/>
      <c r="AI36" s="46">
        <v>0</v>
      </c>
      <c r="AJ36" s="39">
        <v>251</v>
      </c>
      <c r="AK36" s="40">
        <v>250</v>
      </c>
      <c r="AL36" s="40">
        <v>550</v>
      </c>
      <c r="AM36" s="40">
        <v>851</v>
      </c>
      <c r="AN36" s="40">
        <v>200</v>
      </c>
      <c r="AO36" s="40">
        <v>100</v>
      </c>
      <c r="AP36" s="40">
        <v>700</v>
      </c>
      <c r="AQ36" s="40">
        <v>902</v>
      </c>
      <c r="AR36" s="40">
        <v>1263</v>
      </c>
      <c r="AS36" s="40">
        <v>1101</v>
      </c>
      <c r="AT36" s="40">
        <v>1300</v>
      </c>
      <c r="AU36" s="40">
        <v>0</v>
      </c>
      <c r="AV36" s="40">
        <v>300</v>
      </c>
      <c r="AW36" s="40">
        <v>1501</v>
      </c>
      <c r="AX36" s="40">
        <v>101</v>
      </c>
      <c r="AY36" s="40">
        <v>800</v>
      </c>
      <c r="AZ36" s="40">
        <v>401</v>
      </c>
      <c r="BA36" s="40">
        <v>301</v>
      </c>
      <c r="BB36" s="40">
        <v>0</v>
      </c>
      <c r="BC36" s="40">
        <v>1352</v>
      </c>
      <c r="BD36" s="40">
        <v>300</v>
      </c>
      <c r="BE36" s="40">
        <v>801</v>
      </c>
      <c r="BF36" s="40">
        <v>251</v>
      </c>
      <c r="BG36" s="40">
        <v>0</v>
      </c>
      <c r="BH36" s="40">
        <v>802</v>
      </c>
      <c r="BI36" s="40">
        <v>402</v>
      </c>
      <c r="BJ36" s="40">
        <v>1000</v>
      </c>
      <c r="BK36" s="40">
        <v>601</v>
      </c>
      <c r="BL36" s="40">
        <v>0</v>
      </c>
      <c r="BM36" s="40">
        <v>500</v>
      </c>
      <c r="BN36" s="40">
        <v>150</v>
      </c>
    </row>
    <row r="37" spans="1:66" x14ac:dyDescent="0.25">
      <c r="A37" s="25" t="s">
        <v>134</v>
      </c>
      <c r="B37" s="41" t="s">
        <v>135</v>
      </c>
      <c r="C37" s="42" t="s">
        <v>136</v>
      </c>
      <c r="D37" s="41" t="s">
        <v>65</v>
      </c>
      <c r="E37" s="43">
        <v>99680100000990</v>
      </c>
      <c r="F37" s="26" t="s">
        <v>97</v>
      </c>
      <c r="G37" s="28">
        <v>45825</v>
      </c>
      <c r="H37" s="29">
        <v>12000</v>
      </c>
      <c r="I37" s="30">
        <v>70000</v>
      </c>
      <c r="J37" s="30">
        <v>70000</v>
      </c>
      <c r="K37" s="30">
        <f t="shared" si="21"/>
        <v>47255</v>
      </c>
      <c r="L37" s="31">
        <v>2000</v>
      </c>
      <c r="M37" s="30">
        <v>37481</v>
      </c>
      <c r="N37" s="30">
        <v>7774</v>
      </c>
      <c r="O37" s="30">
        <f t="shared" si="5"/>
        <v>-22745</v>
      </c>
      <c r="P37" s="32">
        <f t="shared" si="22"/>
        <v>67.507142857142853</v>
      </c>
      <c r="Q37" s="33">
        <v>30</v>
      </c>
      <c r="R37" s="33">
        <v>0</v>
      </c>
      <c r="S37" s="33">
        <v>0</v>
      </c>
      <c r="T37" s="29">
        <f t="shared" si="6"/>
        <v>30</v>
      </c>
      <c r="U37" s="34">
        <f t="shared" si="23"/>
        <v>11612.903225806451</v>
      </c>
      <c r="V37" s="34">
        <v>0</v>
      </c>
      <c r="W37" s="34">
        <v>0</v>
      </c>
      <c r="X37" s="35">
        <f t="shared" si="24"/>
        <v>11612.903225806451</v>
      </c>
      <c r="Y37" s="34">
        <v>0</v>
      </c>
      <c r="Z37" s="34">
        <v>0</v>
      </c>
      <c r="AA37" s="35">
        <v>0</v>
      </c>
      <c r="AB37" s="35">
        <f t="shared" si="7"/>
        <v>11612.903225806451</v>
      </c>
      <c r="AC37" s="36">
        <v>0</v>
      </c>
      <c r="AD37" s="36">
        <v>0</v>
      </c>
      <c r="AE37" s="37">
        <v>0</v>
      </c>
      <c r="AF37" s="38">
        <v>0</v>
      </c>
      <c r="AG37" s="46"/>
      <c r="AH37" s="38"/>
      <c r="AI37" s="46">
        <v>0</v>
      </c>
      <c r="AJ37" s="39">
        <v>2250</v>
      </c>
      <c r="AK37" s="40">
        <v>1000</v>
      </c>
      <c r="AL37" s="40">
        <v>1300</v>
      </c>
      <c r="AM37" s="40">
        <v>3350</v>
      </c>
      <c r="AN37" s="40">
        <v>0</v>
      </c>
      <c r="AO37" s="40">
        <v>1248</v>
      </c>
      <c r="AP37" s="40">
        <v>1001</v>
      </c>
      <c r="AQ37" s="40">
        <v>2251</v>
      </c>
      <c r="AR37" s="40">
        <v>500</v>
      </c>
      <c r="AS37" s="40">
        <v>1250</v>
      </c>
      <c r="AT37" s="40">
        <v>3000</v>
      </c>
      <c r="AU37" s="40">
        <v>0</v>
      </c>
      <c r="AV37" s="40">
        <v>3250</v>
      </c>
      <c r="AW37" s="40">
        <v>2101</v>
      </c>
      <c r="AX37" s="40">
        <v>1300</v>
      </c>
      <c r="AY37" s="40">
        <v>1720</v>
      </c>
      <c r="AZ37" s="40">
        <v>1601</v>
      </c>
      <c r="BA37" s="40">
        <v>6000</v>
      </c>
      <c r="BB37" s="40">
        <v>0</v>
      </c>
      <c r="BC37" s="40">
        <v>1381</v>
      </c>
      <c r="BD37" s="40">
        <v>5200</v>
      </c>
      <c r="BE37" s="40">
        <v>0</v>
      </c>
      <c r="BF37" s="40">
        <v>1352</v>
      </c>
      <c r="BG37" s="40">
        <v>100</v>
      </c>
      <c r="BH37" s="40">
        <v>2500</v>
      </c>
      <c r="BI37" s="40">
        <v>0</v>
      </c>
      <c r="BJ37" s="40">
        <v>600</v>
      </c>
      <c r="BK37" s="40">
        <v>1000</v>
      </c>
      <c r="BL37" s="40">
        <v>0</v>
      </c>
      <c r="BM37" s="40">
        <v>1000</v>
      </c>
      <c r="BN37" s="40">
        <v>1000</v>
      </c>
    </row>
    <row r="38" spans="1:66" x14ac:dyDescent="0.25">
      <c r="A38" s="25" t="s">
        <v>137</v>
      </c>
      <c r="B38" s="25" t="s">
        <v>137</v>
      </c>
      <c r="C38" s="26" t="s">
        <v>126</v>
      </c>
      <c r="D38" s="25" t="s">
        <v>38</v>
      </c>
      <c r="E38" s="27">
        <v>384402010094600</v>
      </c>
      <c r="F38" s="26" t="s">
        <v>128</v>
      </c>
      <c r="G38" s="28">
        <v>45085</v>
      </c>
      <c r="H38" s="29">
        <v>17000</v>
      </c>
      <c r="I38" s="30">
        <v>114000</v>
      </c>
      <c r="J38" s="30">
        <v>135000</v>
      </c>
      <c r="K38" s="30">
        <f t="shared" si="21"/>
        <v>84654</v>
      </c>
      <c r="L38" s="31">
        <v>11200</v>
      </c>
      <c r="M38" s="30">
        <v>70354</v>
      </c>
      <c r="N38" s="30">
        <v>3100</v>
      </c>
      <c r="O38" s="30">
        <f t="shared" si="5"/>
        <v>-50346</v>
      </c>
      <c r="P38" s="32">
        <f t="shared" si="22"/>
        <v>74.257894736842104</v>
      </c>
      <c r="Q38" s="33">
        <v>30</v>
      </c>
      <c r="R38" s="33">
        <v>0</v>
      </c>
      <c r="S38" s="33">
        <v>0</v>
      </c>
      <c r="T38" s="29">
        <f t="shared" si="6"/>
        <v>30</v>
      </c>
      <c r="U38" s="34">
        <f t="shared" si="23"/>
        <v>16451.612903225807</v>
      </c>
      <c r="V38" s="34">
        <v>0</v>
      </c>
      <c r="W38" s="34">
        <v>0</v>
      </c>
      <c r="X38" s="35">
        <f t="shared" si="24"/>
        <v>16451.612903225807</v>
      </c>
      <c r="Y38" s="34">
        <v>0</v>
      </c>
      <c r="Z38" s="34">
        <v>0</v>
      </c>
      <c r="AA38" s="35">
        <v>0</v>
      </c>
      <c r="AB38" s="35">
        <f t="shared" si="7"/>
        <v>16451.612903225807</v>
      </c>
      <c r="AC38" s="36">
        <v>0</v>
      </c>
      <c r="AD38" s="36">
        <v>0</v>
      </c>
      <c r="AE38" s="37">
        <v>0</v>
      </c>
      <c r="AF38" s="38">
        <v>0</v>
      </c>
      <c r="AG38" s="46"/>
      <c r="AH38" s="38"/>
      <c r="AI38" s="46">
        <v>0</v>
      </c>
      <c r="AJ38" s="39">
        <v>3950</v>
      </c>
      <c r="AK38" s="40">
        <v>3500</v>
      </c>
      <c r="AL38" s="40">
        <v>1750</v>
      </c>
      <c r="AM38" s="40">
        <v>1150</v>
      </c>
      <c r="AN38" s="40">
        <v>0</v>
      </c>
      <c r="AO38" s="40">
        <v>7501</v>
      </c>
      <c r="AP38" s="40">
        <v>6950</v>
      </c>
      <c r="AQ38" s="40">
        <v>3750</v>
      </c>
      <c r="AR38" s="40">
        <v>3451</v>
      </c>
      <c r="AS38" s="40">
        <v>7750</v>
      </c>
      <c r="AT38" s="40">
        <v>600</v>
      </c>
      <c r="AU38" s="40">
        <v>100</v>
      </c>
      <c r="AV38" s="40">
        <v>6200</v>
      </c>
      <c r="AW38" s="40">
        <v>0</v>
      </c>
      <c r="AX38" s="40">
        <v>3250</v>
      </c>
      <c r="AY38" s="40">
        <v>2450</v>
      </c>
      <c r="AZ38" s="40">
        <v>6150</v>
      </c>
      <c r="BA38" s="40">
        <v>5501</v>
      </c>
      <c r="BB38" s="40">
        <v>0</v>
      </c>
      <c r="BC38" s="40">
        <v>700</v>
      </c>
      <c r="BD38" s="40">
        <v>2000</v>
      </c>
      <c r="BE38" s="40">
        <v>6500</v>
      </c>
      <c r="BF38" s="40">
        <v>1600</v>
      </c>
      <c r="BG38" s="40">
        <v>0</v>
      </c>
      <c r="BH38" s="40">
        <v>2000</v>
      </c>
      <c r="BI38" s="40">
        <v>1251</v>
      </c>
      <c r="BJ38" s="40">
        <v>500</v>
      </c>
      <c r="BK38" s="40">
        <v>1100</v>
      </c>
      <c r="BL38" s="40">
        <v>750</v>
      </c>
      <c r="BM38" s="40">
        <v>1500</v>
      </c>
      <c r="BN38" s="40">
        <v>2750</v>
      </c>
    </row>
    <row r="39" spans="1:66" x14ac:dyDescent="0.25">
      <c r="A39" s="25" t="s">
        <v>138</v>
      </c>
      <c r="B39" s="25" t="s">
        <v>138</v>
      </c>
      <c r="C39" s="26" t="s">
        <v>37</v>
      </c>
      <c r="D39" s="25" t="s">
        <v>139</v>
      </c>
      <c r="E39" s="27">
        <v>79011100014764</v>
      </c>
      <c r="F39" s="26" t="s">
        <v>114</v>
      </c>
      <c r="G39" s="28">
        <v>46087</v>
      </c>
      <c r="H39" s="29">
        <v>13000</v>
      </c>
      <c r="I39" s="30">
        <v>39000</v>
      </c>
      <c r="J39" s="30">
        <v>35000</v>
      </c>
      <c r="K39" s="30">
        <f t="shared" si="21"/>
        <v>15845</v>
      </c>
      <c r="L39" s="31">
        <v>50</v>
      </c>
      <c r="M39" s="30">
        <v>15795</v>
      </c>
      <c r="N39" s="30">
        <v>0</v>
      </c>
      <c r="O39" s="30">
        <f t="shared" si="5"/>
        <v>-19155</v>
      </c>
      <c r="P39" s="32">
        <f t="shared" si="22"/>
        <v>40.628205128205131</v>
      </c>
      <c r="Q39" s="33">
        <v>29</v>
      </c>
      <c r="R39" s="33">
        <v>0</v>
      </c>
      <c r="S39" s="33">
        <v>0</v>
      </c>
      <c r="T39" s="29">
        <f t="shared" si="6"/>
        <v>29</v>
      </c>
      <c r="U39" s="34">
        <f t="shared" si="23"/>
        <v>12161.290322580646</v>
      </c>
      <c r="V39" s="34">
        <v>0</v>
      </c>
      <c r="W39" s="34">
        <v>0</v>
      </c>
      <c r="X39" s="35">
        <f t="shared" si="24"/>
        <v>12161.290322580646</v>
      </c>
      <c r="Y39" s="34">
        <v>0</v>
      </c>
      <c r="Z39" s="34">
        <v>0</v>
      </c>
      <c r="AA39" s="35">
        <v>0</v>
      </c>
      <c r="AB39" s="35">
        <f t="shared" si="7"/>
        <v>12161.290322580646</v>
      </c>
      <c r="AC39" s="36">
        <v>0</v>
      </c>
      <c r="AD39" s="36">
        <v>0</v>
      </c>
      <c r="AE39" s="37">
        <v>0</v>
      </c>
      <c r="AF39" s="38">
        <v>0</v>
      </c>
      <c r="AG39" s="46"/>
      <c r="AH39" s="38"/>
      <c r="AI39" s="46">
        <v>0</v>
      </c>
      <c r="AJ39" s="39">
        <v>101</v>
      </c>
      <c r="AK39" s="40">
        <v>700</v>
      </c>
      <c r="AL39" s="40">
        <v>0</v>
      </c>
      <c r="AM39" s="40">
        <v>500</v>
      </c>
      <c r="AN39" s="40">
        <v>0</v>
      </c>
      <c r="AO39" s="40">
        <v>0</v>
      </c>
      <c r="AP39" s="40">
        <v>1250</v>
      </c>
      <c r="AQ39" s="40">
        <v>751</v>
      </c>
      <c r="AR39" s="40">
        <v>600</v>
      </c>
      <c r="AS39" s="40">
        <v>0</v>
      </c>
      <c r="AT39" s="40">
        <v>1901</v>
      </c>
      <c r="AU39" s="40">
        <v>0</v>
      </c>
      <c r="AV39" s="40">
        <v>250</v>
      </c>
      <c r="AW39" s="40">
        <v>96</v>
      </c>
      <c r="AX39" s="40">
        <v>1008</v>
      </c>
      <c r="AY39" s="40">
        <v>451</v>
      </c>
      <c r="AZ39" s="40">
        <v>200</v>
      </c>
      <c r="BA39" s="40">
        <v>570</v>
      </c>
      <c r="BB39" s="40">
        <v>0</v>
      </c>
      <c r="BC39" s="40">
        <v>500</v>
      </c>
      <c r="BD39" s="40">
        <v>201</v>
      </c>
      <c r="BE39" s="40">
        <v>1050</v>
      </c>
      <c r="BF39" s="40">
        <v>350</v>
      </c>
      <c r="BG39" s="40">
        <v>2251</v>
      </c>
      <c r="BH39" s="40">
        <v>612</v>
      </c>
      <c r="BI39" s="40">
        <v>300</v>
      </c>
      <c r="BJ39" s="40">
        <v>200</v>
      </c>
      <c r="BK39" s="40">
        <v>952</v>
      </c>
      <c r="BL39" s="40">
        <v>0</v>
      </c>
      <c r="BM39" s="40">
        <v>851</v>
      </c>
      <c r="BN39" s="40">
        <v>200</v>
      </c>
    </row>
    <row r="40" spans="1:66" s="24" customFormat="1" x14ac:dyDescent="0.25">
      <c r="A40" s="17" t="s">
        <v>140</v>
      </c>
      <c r="B40" s="17"/>
      <c r="C40" s="18"/>
      <c r="D40" s="17"/>
      <c r="E40" s="19"/>
      <c r="F40" s="18"/>
      <c r="G40" s="20"/>
      <c r="H40" s="21">
        <f t="shared" ref="H40:BN40" si="25">SUM(H41:H52)</f>
        <v>136000</v>
      </c>
      <c r="I40" s="21">
        <f t="shared" si="25"/>
        <v>256000</v>
      </c>
      <c r="J40" s="21">
        <f t="shared" si="25"/>
        <v>326000</v>
      </c>
      <c r="K40" s="21">
        <f t="shared" si="25"/>
        <v>74083</v>
      </c>
      <c r="L40" s="21">
        <f t="shared" si="25"/>
        <v>4500</v>
      </c>
      <c r="M40" s="21">
        <f t="shared" si="25"/>
        <v>13901</v>
      </c>
      <c r="N40" s="21">
        <f t="shared" si="25"/>
        <v>55682</v>
      </c>
      <c r="O40" s="21">
        <f t="shared" si="5"/>
        <v>-251917</v>
      </c>
      <c r="P40" s="21">
        <f t="shared" si="25"/>
        <v>473.06568298368296</v>
      </c>
      <c r="Q40" s="21">
        <f t="shared" si="25"/>
        <v>236</v>
      </c>
      <c r="R40" s="21">
        <f t="shared" si="25"/>
        <v>4.5</v>
      </c>
      <c r="S40" s="21">
        <f t="shared" si="25"/>
        <v>0</v>
      </c>
      <c r="T40" s="21">
        <f t="shared" si="25"/>
        <v>231.5</v>
      </c>
      <c r="U40" s="21">
        <f t="shared" si="25"/>
        <v>99451.612903225818</v>
      </c>
      <c r="V40" s="21">
        <f t="shared" si="25"/>
        <v>150.19999999999999</v>
      </c>
      <c r="W40" s="21">
        <f t="shared" si="25"/>
        <v>0</v>
      </c>
      <c r="X40" s="21">
        <f t="shared" si="25"/>
        <v>97050.200000000012</v>
      </c>
      <c r="Y40" s="21">
        <f t="shared" si="25"/>
        <v>0</v>
      </c>
      <c r="Z40" s="21">
        <f t="shared" si="25"/>
        <v>0</v>
      </c>
      <c r="AA40" s="21">
        <f t="shared" si="25"/>
        <v>5000</v>
      </c>
      <c r="AB40" s="21">
        <f t="shared" si="7"/>
        <v>92050.200000000012</v>
      </c>
      <c r="AC40" s="21">
        <f t="shared" si="25"/>
        <v>0</v>
      </c>
      <c r="AD40" s="21">
        <f t="shared" si="25"/>
        <v>0</v>
      </c>
      <c r="AE40" s="21">
        <f t="shared" si="25"/>
        <v>0</v>
      </c>
      <c r="AF40" s="21">
        <f t="shared" si="25"/>
        <v>0</v>
      </c>
      <c r="AG40" s="21">
        <f t="shared" si="25"/>
        <v>0</v>
      </c>
      <c r="AH40" s="21">
        <f t="shared" si="25"/>
        <v>0</v>
      </c>
      <c r="AI40" s="21">
        <f t="shared" si="25"/>
        <v>0</v>
      </c>
      <c r="AJ40" s="21">
        <f t="shared" si="25"/>
        <v>0</v>
      </c>
      <c r="AK40" s="21">
        <f t="shared" si="25"/>
        <v>0</v>
      </c>
      <c r="AL40" s="21">
        <f t="shared" si="25"/>
        <v>0</v>
      </c>
      <c r="AM40" s="21">
        <f t="shared" si="25"/>
        <v>0</v>
      </c>
      <c r="AN40" s="21">
        <f t="shared" si="25"/>
        <v>0</v>
      </c>
      <c r="AO40" s="21">
        <f t="shared" si="25"/>
        <v>550</v>
      </c>
      <c r="AP40" s="21">
        <f t="shared" si="25"/>
        <v>0</v>
      </c>
      <c r="AQ40" s="21">
        <f t="shared" si="25"/>
        <v>400</v>
      </c>
      <c r="AR40" s="21">
        <f t="shared" si="25"/>
        <v>4600</v>
      </c>
      <c r="AS40" s="21">
        <f t="shared" si="25"/>
        <v>200</v>
      </c>
      <c r="AT40" s="21">
        <f t="shared" si="25"/>
        <v>0</v>
      </c>
      <c r="AU40" s="21">
        <f t="shared" si="25"/>
        <v>0</v>
      </c>
      <c r="AV40" s="21">
        <f t="shared" si="25"/>
        <v>700</v>
      </c>
      <c r="AW40" s="21">
        <f t="shared" si="25"/>
        <v>4800</v>
      </c>
      <c r="AX40" s="21">
        <f t="shared" si="25"/>
        <v>1700</v>
      </c>
      <c r="AY40" s="21">
        <f t="shared" si="25"/>
        <v>5250</v>
      </c>
      <c r="AZ40" s="21">
        <f t="shared" si="25"/>
        <v>4251</v>
      </c>
      <c r="BA40" s="21">
        <f t="shared" si="25"/>
        <v>1702</v>
      </c>
      <c r="BB40" s="21">
        <f t="shared" si="25"/>
        <v>0</v>
      </c>
      <c r="BC40" s="21">
        <f t="shared" si="25"/>
        <v>7323</v>
      </c>
      <c r="BD40" s="21">
        <f t="shared" si="25"/>
        <v>1200</v>
      </c>
      <c r="BE40" s="21">
        <f t="shared" si="25"/>
        <v>2500</v>
      </c>
      <c r="BF40" s="21">
        <f t="shared" si="25"/>
        <v>2900</v>
      </c>
      <c r="BG40" s="21">
        <f t="shared" si="25"/>
        <v>5503</v>
      </c>
      <c r="BH40" s="21">
        <f t="shared" si="25"/>
        <v>4002</v>
      </c>
      <c r="BI40" s="21">
        <f t="shared" si="25"/>
        <v>0</v>
      </c>
      <c r="BJ40" s="21">
        <f t="shared" si="25"/>
        <v>2000</v>
      </c>
      <c r="BK40" s="21">
        <f t="shared" si="25"/>
        <v>1700</v>
      </c>
      <c r="BL40" s="21">
        <f t="shared" si="25"/>
        <v>15000</v>
      </c>
      <c r="BM40" s="21">
        <f t="shared" si="25"/>
        <v>5500</v>
      </c>
      <c r="BN40" s="21">
        <f t="shared" si="25"/>
        <v>2302</v>
      </c>
    </row>
    <row r="41" spans="1:66" x14ac:dyDescent="0.25">
      <c r="A41" s="25" t="s">
        <v>141</v>
      </c>
      <c r="B41" s="25" t="s">
        <v>142</v>
      </c>
      <c r="C41" s="26" t="s">
        <v>37</v>
      </c>
      <c r="D41" s="25" t="s">
        <v>94</v>
      </c>
      <c r="E41" s="27">
        <v>510000000584053</v>
      </c>
      <c r="F41" s="26" t="s">
        <v>91</v>
      </c>
      <c r="G41" s="28">
        <v>46203</v>
      </c>
      <c r="H41" s="29">
        <v>11000</v>
      </c>
      <c r="I41" s="30">
        <v>11000</v>
      </c>
      <c r="J41" s="30">
        <v>11000</v>
      </c>
      <c r="K41" s="30">
        <f t="shared" ref="K41:K50" si="26">SUM(AJ41:BN41)</f>
        <v>8851</v>
      </c>
      <c r="L41" s="31">
        <v>0</v>
      </c>
      <c r="M41" s="30">
        <v>0</v>
      </c>
      <c r="N41" s="30">
        <v>8851</v>
      </c>
      <c r="O41" s="30">
        <f t="shared" si="5"/>
        <v>-2149</v>
      </c>
      <c r="P41" s="32">
        <f>K41*100/I41</f>
        <v>80.463636363636368</v>
      </c>
      <c r="Q41" s="33">
        <v>30.5</v>
      </c>
      <c r="R41" s="33">
        <v>0</v>
      </c>
      <c r="S41" s="33">
        <v>0</v>
      </c>
      <c r="T41" s="29">
        <f t="shared" si="6"/>
        <v>30.5</v>
      </c>
      <c r="U41" s="34">
        <f>H41*T41/31</f>
        <v>10822.58064516129</v>
      </c>
      <c r="V41" s="34">
        <v>0</v>
      </c>
      <c r="W41" s="34">
        <v>0</v>
      </c>
      <c r="X41" s="35">
        <f t="shared" ref="X41:X50" si="27">SUM(U41:W41)</f>
        <v>10822.58064516129</v>
      </c>
      <c r="Y41" s="34">
        <v>0</v>
      </c>
      <c r="Z41" s="34">
        <v>0</v>
      </c>
      <c r="AA41" s="35">
        <v>0</v>
      </c>
      <c r="AB41" s="35">
        <f t="shared" si="7"/>
        <v>10822.58064516129</v>
      </c>
      <c r="AC41" s="36">
        <v>0</v>
      </c>
      <c r="AD41" s="36">
        <v>0</v>
      </c>
      <c r="AE41" s="37">
        <v>0</v>
      </c>
      <c r="AF41" s="38">
        <v>0</v>
      </c>
      <c r="AG41" s="37"/>
      <c r="AH41" s="38"/>
      <c r="AI41" s="37">
        <v>0</v>
      </c>
      <c r="AJ41" s="39"/>
      <c r="AK41" s="40"/>
      <c r="AL41" s="40"/>
      <c r="AM41" s="40"/>
      <c r="AN41" s="40"/>
      <c r="AO41" s="40">
        <v>550</v>
      </c>
      <c r="AP41" s="40"/>
      <c r="AQ41" s="40"/>
      <c r="AR41" s="40">
        <v>3600</v>
      </c>
      <c r="AS41" s="40"/>
      <c r="AT41" s="40"/>
      <c r="AU41" s="40"/>
      <c r="AV41" s="40"/>
      <c r="AW41" s="40">
        <v>1000</v>
      </c>
      <c r="AX41" s="40"/>
      <c r="AY41" s="40"/>
      <c r="AZ41" s="40"/>
      <c r="BA41" s="40"/>
      <c r="BB41" s="40"/>
      <c r="BC41" s="40"/>
      <c r="BD41" s="40">
        <v>0</v>
      </c>
      <c r="BE41" s="40">
        <v>0</v>
      </c>
      <c r="BF41" s="40">
        <v>0</v>
      </c>
      <c r="BG41" s="40">
        <v>0</v>
      </c>
      <c r="BH41" s="40">
        <v>2501</v>
      </c>
      <c r="BI41" s="40">
        <v>0</v>
      </c>
      <c r="BJ41" s="40">
        <v>1000</v>
      </c>
      <c r="BK41" s="40"/>
      <c r="BL41" s="40"/>
      <c r="BM41" s="40"/>
      <c r="BN41" s="40">
        <v>200</v>
      </c>
    </row>
    <row r="42" spans="1:66" x14ac:dyDescent="0.25">
      <c r="A42" s="25" t="s">
        <v>143</v>
      </c>
      <c r="B42" s="25" t="s">
        <v>143</v>
      </c>
      <c r="C42" s="26" t="s">
        <v>37</v>
      </c>
      <c r="D42" s="25" t="s">
        <v>144</v>
      </c>
      <c r="E42" s="27">
        <v>44485781448</v>
      </c>
      <c r="F42" s="26" t="s">
        <v>91</v>
      </c>
      <c r="G42" s="28">
        <v>45691</v>
      </c>
      <c r="H42" s="29">
        <v>25000</v>
      </c>
      <c r="I42" s="30">
        <v>70000</v>
      </c>
      <c r="J42" s="30">
        <v>150000</v>
      </c>
      <c r="K42" s="30">
        <f t="shared" si="26"/>
        <v>0</v>
      </c>
      <c r="L42" s="31">
        <v>0</v>
      </c>
      <c r="M42" s="30">
        <v>0</v>
      </c>
      <c r="N42" s="30">
        <v>0</v>
      </c>
      <c r="O42" s="30">
        <f t="shared" si="5"/>
        <v>-150000</v>
      </c>
      <c r="P42" s="32">
        <f>K42*100/I42</f>
        <v>0</v>
      </c>
      <c r="Q42" s="33">
        <v>28</v>
      </c>
      <c r="R42" s="33">
        <v>0</v>
      </c>
      <c r="S42" s="33">
        <v>0</v>
      </c>
      <c r="T42" s="29">
        <f t="shared" si="6"/>
        <v>28</v>
      </c>
      <c r="U42" s="34">
        <f>H42*T42/31</f>
        <v>22580.645161290322</v>
      </c>
      <c r="V42" s="34">
        <v>0</v>
      </c>
      <c r="W42" s="34">
        <v>0</v>
      </c>
      <c r="X42" s="35">
        <f t="shared" si="27"/>
        <v>22580.645161290322</v>
      </c>
      <c r="Y42" s="34">
        <v>0</v>
      </c>
      <c r="Z42" s="34">
        <v>0</v>
      </c>
      <c r="AA42" s="35">
        <v>5000</v>
      </c>
      <c r="AB42" s="35">
        <f t="shared" si="7"/>
        <v>17580.645161290322</v>
      </c>
      <c r="AC42" s="36">
        <v>0</v>
      </c>
      <c r="AD42" s="36">
        <v>0</v>
      </c>
      <c r="AE42" s="37">
        <v>0</v>
      </c>
      <c r="AF42" s="38">
        <v>0</v>
      </c>
      <c r="AG42" s="37"/>
      <c r="AH42" s="38"/>
      <c r="AI42" s="37">
        <v>0</v>
      </c>
      <c r="AJ42" s="39">
        <v>0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0</v>
      </c>
      <c r="AQ42" s="40">
        <v>0</v>
      </c>
      <c r="AR42" s="40">
        <v>0</v>
      </c>
      <c r="AS42" s="40">
        <v>0</v>
      </c>
      <c r="AT42" s="40">
        <v>0</v>
      </c>
      <c r="AU42" s="40">
        <v>0</v>
      </c>
      <c r="AV42" s="40">
        <v>0</v>
      </c>
      <c r="AW42" s="40">
        <v>0</v>
      </c>
      <c r="AX42" s="40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40">
        <v>0</v>
      </c>
      <c r="BE42" s="40">
        <v>0</v>
      </c>
      <c r="BF42" s="40">
        <v>0</v>
      </c>
      <c r="BG42" s="40">
        <v>0</v>
      </c>
      <c r="BH42" s="40">
        <v>0</v>
      </c>
      <c r="BI42" s="40">
        <v>0</v>
      </c>
      <c r="BJ42" s="40">
        <v>0</v>
      </c>
      <c r="BK42" s="40">
        <v>0</v>
      </c>
      <c r="BL42" s="40">
        <v>0</v>
      </c>
      <c r="BM42" s="40">
        <v>0</v>
      </c>
      <c r="BN42" s="40">
        <v>0</v>
      </c>
    </row>
    <row r="43" spans="1:66" x14ac:dyDescent="0.25">
      <c r="A43" s="25" t="s">
        <v>145</v>
      </c>
      <c r="B43" s="25" t="s">
        <v>146</v>
      </c>
      <c r="C43" s="26" t="s">
        <v>37</v>
      </c>
      <c r="D43" s="25" t="s">
        <v>38</v>
      </c>
      <c r="E43" s="27">
        <v>682202010018950</v>
      </c>
      <c r="F43" s="26" t="s">
        <v>91</v>
      </c>
      <c r="G43" s="28">
        <v>46228</v>
      </c>
      <c r="H43" s="47"/>
      <c r="I43" s="48"/>
      <c r="J43" s="30"/>
      <c r="K43" s="30">
        <f t="shared" si="26"/>
        <v>1000</v>
      </c>
      <c r="L43" s="31">
        <v>1000</v>
      </c>
      <c r="M43" s="30">
        <v>0</v>
      </c>
      <c r="N43" s="30">
        <v>0</v>
      </c>
      <c r="O43" s="44">
        <f t="shared" si="5"/>
        <v>1000</v>
      </c>
      <c r="P43" s="32">
        <v>0</v>
      </c>
      <c r="Q43" s="33">
        <v>6</v>
      </c>
      <c r="R43" s="33">
        <v>1.5</v>
      </c>
      <c r="S43" s="33">
        <v>0</v>
      </c>
      <c r="T43" s="29">
        <f t="shared" si="6"/>
        <v>4.5</v>
      </c>
      <c r="U43" s="34">
        <f t="shared" ref="U43:U52" si="28">H43*T43/31</f>
        <v>0</v>
      </c>
      <c r="V43" s="34">
        <f t="shared" si="8"/>
        <v>100</v>
      </c>
      <c r="W43" s="34">
        <v>0</v>
      </c>
      <c r="X43" s="35">
        <v>-1000</v>
      </c>
      <c r="Y43" s="34">
        <v>0</v>
      </c>
      <c r="Z43" s="34">
        <v>0</v>
      </c>
      <c r="AA43" s="35">
        <v>0</v>
      </c>
      <c r="AB43" s="35">
        <f t="shared" si="7"/>
        <v>-1000</v>
      </c>
      <c r="AC43" s="36">
        <v>0</v>
      </c>
      <c r="AD43" s="36">
        <v>0</v>
      </c>
      <c r="AE43" s="37">
        <v>0</v>
      </c>
      <c r="AF43" s="38">
        <v>0</v>
      </c>
      <c r="AG43" s="37"/>
      <c r="AH43" s="38"/>
      <c r="AI43" s="37">
        <v>0</v>
      </c>
      <c r="AJ43" s="39">
        <v>0</v>
      </c>
      <c r="AK43" s="40">
        <v>0</v>
      </c>
      <c r="AL43" s="40">
        <v>0</v>
      </c>
      <c r="AM43" s="40">
        <v>0</v>
      </c>
      <c r="AN43" s="40">
        <v>0</v>
      </c>
      <c r="AO43" s="40">
        <v>0</v>
      </c>
      <c r="AP43" s="40">
        <v>0</v>
      </c>
      <c r="AQ43" s="40">
        <v>0</v>
      </c>
      <c r="AR43" s="40">
        <v>0</v>
      </c>
      <c r="AS43" s="40">
        <v>0</v>
      </c>
      <c r="AT43" s="40">
        <v>0</v>
      </c>
      <c r="AU43" s="40">
        <v>0</v>
      </c>
      <c r="AV43" s="40">
        <v>0</v>
      </c>
      <c r="AW43" s="40">
        <v>0</v>
      </c>
      <c r="AX43" s="40">
        <v>0</v>
      </c>
      <c r="AY43" s="40">
        <v>0</v>
      </c>
      <c r="AZ43" s="40">
        <v>0</v>
      </c>
      <c r="BA43" s="40">
        <v>0</v>
      </c>
      <c r="BB43" s="40">
        <v>0</v>
      </c>
      <c r="BC43" s="40">
        <v>0</v>
      </c>
      <c r="BD43" s="40">
        <v>0</v>
      </c>
      <c r="BE43" s="40">
        <v>0</v>
      </c>
      <c r="BF43" s="40">
        <v>0</v>
      </c>
      <c r="BG43" s="40">
        <v>0</v>
      </c>
      <c r="BH43" s="40">
        <v>0</v>
      </c>
      <c r="BI43" s="40">
        <v>0</v>
      </c>
      <c r="BJ43" s="40">
        <v>0</v>
      </c>
      <c r="BK43" s="40">
        <v>0</v>
      </c>
      <c r="BL43" s="40">
        <v>0</v>
      </c>
      <c r="BM43" s="40">
        <v>0</v>
      </c>
      <c r="BN43" s="40">
        <v>1000</v>
      </c>
    </row>
    <row r="44" spans="1:66" x14ac:dyDescent="0.25">
      <c r="A44" s="25" t="s">
        <v>147</v>
      </c>
      <c r="B44" s="41" t="s">
        <v>148</v>
      </c>
      <c r="C44" s="42" t="s">
        <v>149</v>
      </c>
      <c r="D44" s="41" t="s">
        <v>139</v>
      </c>
      <c r="E44" s="43">
        <v>110011100005891</v>
      </c>
      <c r="F44" s="26" t="s">
        <v>91</v>
      </c>
      <c r="G44" s="28">
        <v>46212</v>
      </c>
      <c r="H44" s="29">
        <v>9000</v>
      </c>
      <c r="I44" s="30">
        <v>9000</v>
      </c>
      <c r="J44" s="30">
        <v>9000</v>
      </c>
      <c r="K44" s="30">
        <f t="shared" si="26"/>
        <v>2802</v>
      </c>
      <c r="L44" s="31">
        <v>0</v>
      </c>
      <c r="M44" s="30">
        <v>0</v>
      </c>
      <c r="N44" s="30">
        <v>2802</v>
      </c>
      <c r="O44" s="30">
        <f t="shared" si="5"/>
        <v>-6198</v>
      </c>
      <c r="P44" s="32">
        <f t="shared" ref="P44:P50" si="29">K44*100/I44</f>
        <v>31.133333333333333</v>
      </c>
      <c r="Q44" s="33">
        <v>21</v>
      </c>
      <c r="R44" s="33">
        <v>0</v>
      </c>
      <c r="S44" s="33">
        <v>0</v>
      </c>
      <c r="T44" s="29">
        <f t="shared" si="6"/>
        <v>21</v>
      </c>
      <c r="U44" s="34">
        <f t="shared" si="28"/>
        <v>6096.7741935483873</v>
      </c>
      <c r="V44" s="34">
        <v>0</v>
      </c>
      <c r="W44" s="34">
        <v>0</v>
      </c>
      <c r="X44" s="35">
        <f t="shared" si="27"/>
        <v>6096.7741935483873</v>
      </c>
      <c r="Y44" s="34">
        <v>0</v>
      </c>
      <c r="Z44" s="34">
        <v>0</v>
      </c>
      <c r="AA44" s="35">
        <v>0</v>
      </c>
      <c r="AB44" s="35">
        <f t="shared" si="7"/>
        <v>6096.7741935483873</v>
      </c>
      <c r="AC44" s="36">
        <v>0</v>
      </c>
      <c r="AD44" s="36">
        <v>0</v>
      </c>
      <c r="AE44" s="37">
        <v>0</v>
      </c>
      <c r="AF44" s="38">
        <v>0</v>
      </c>
      <c r="AG44" s="37"/>
      <c r="AH44" s="38"/>
      <c r="AI44" s="37">
        <v>0</v>
      </c>
      <c r="AJ44" s="39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>
        <v>200</v>
      </c>
      <c r="AW44" s="40"/>
      <c r="AX44" s="40"/>
      <c r="AY44" s="40"/>
      <c r="AZ44" s="40">
        <v>501</v>
      </c>
      <c r="BA44" s="40"/>
      <c r="BB44" s="40"/>
      <c r="BC44" s="40"/>
      <c r="BD44" s="40">
        <v>0</v>
      </c>
      <c r="BE44" s="40">
        <v>0</v>
      </c>
      <c r="BF44" s="40">
        <v>0</v>
      </c>
      <c r="BG44" s="40">
        <v>0</v>
      </c>
      <c r="BH44" s="40">
        <v>0</v>
      </c>
      <c r="BI44" s="40">
        <v>0</v>
      </c>
      <c r="BJ44" s="40"/>
      <c r="BK44" s="40">
        <v>1000</v>
      </c>
      <c r="BL44" s="40"/>
      <c r="BM44" s="40"/>
      <c r="BN44" s="40">
        <v>1101</v>
      </c>
    </row>
    <row r="45" spans="1:66" x14ac:dyDescent="0.25">
      <c r="A45" s="25" t="s">
        <v>150</v>
      </c>
      <c r="B45" s="25" t="s">
        <v>151</v>
      </c>
      <c r="C45" s="26" t="s">
        <v>37</v>
      </c>
      <c r="D45" s="25" t="s">
        <v>94</v>
      </c>
      <c r="E45" s="27">
        <v>510000000182611</v>
      </c>
      <c r="F45" s="26" t="s">
        <v>91</v>
      </c>
      <c r="G45" s="28">
        <v>46212</v>
      </c>
      <c r="H45" s="29">
        <v>11000</v>
      </c>
      <c r="I45" s="30">
        <v>11000</v>
      </c>
      <c r="J45" s="30">
        <v>11000</v>
      </c>
      <c r="K45" s="30">
        <f t="shared" si="26"/>
        <v>11502</v>
      </c>
      <c r="L45" s="31">
        <v>0</v>
      </c>
      <c r="M45" s="30">
        <v>0</v>
      </c>
      <c r="N45" s="30">
        <v>11502</v>
      </c>
      <c r="O45" s="44">
        <f t="shared" si="5"/>
        <v>502</v>
      </c>
      <c r="P45" s="32">
        <f t="shared" si="29"/>
        <v>104.56363636363636</v>
      </c>
      <c r="Q45" s="33">
        <v>22</v>
      </c>
      <c r="R45" s="33">
        <v>0</v>
      </c>
      <c r="S45" s="33">
        <v>0</v>
      </c>
      <c r="T45" s="29">
        <f t="shared" si="6"/>
        <v>22</v>
      </c>
      <c r="U45" s="34">
        <f t="shared" si="28"/>
        <v>7806.4516129032254</v>
      </c>
      <c r="V45" s="34">
        <f t="shared" si="8"/>
        <v>50.2</v>
      </c>
      <c r="W45" s="34">
        <v>0</v>
      </c>
      <c r="X45" s="35">
        <f t="shared" si="27"/>
        <v>7856.6516129032252</v>
      </c>
      <c r="Y45" s="34">
        <v>0</v>
      </c>
      <c r="Z45" s="34">
        <v>0</v>
      </c>
      <c r="AA45" s="35">
        <v>0</v>
      </c>
      <c r="AB45" s="35">
        <f t="shared" si="7"/>
        <v>7856.6516129032252</v>
      </c>
      <c r="AC45" s="36">
        <v>0</v>
      </c>
      <c r="AD45" s="36">
        <v>0</v>
      </c>
      <c r="AE45" s="37">
        <v>0</v>
      </c>
      <c r="AF45" s="38">
        <v>0</v>
      </c>
      <c r="AG45" s="37"/>
      <c r="AH45" s="38"/>
      <c r="AI45" s="37">
        <v>0</v>
      </c>
      <c r="AJ45" s="39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>
        <v>500</v>
      </c>
      <c r="AW45" s="40"/>
      <c r="AX45" s="40"/>
      <c r="AY45" s="40">
        <v>4000</v>
      </c>
      <c r="AZ45" s="40">
        <v>1000</v>
      </c>
      <c r="BA45" s="40">
        <v>501</v>
      </c>
      <c r="BB45" s="40"/>
      <c r="BC45" s="40">
        <v>501</v>
      </c>
      <c r="BD45" s="40">
        <v>0</v>
      </c>
      <c r="BE45" s="40">
        <v>0</v>
      </c>
      <c r="BF45" s="40">
        <v>0</v>
      </c>
      <c r="BG45" s="40">
        <v>0</v>
      </c>
      <c r="BH45" s="40">
        <v>1000</v>
      </c>
      <c r="BI45" s="40">
        <v>0</v>
      </c>
      <c r="BJ45" s="40">
        <v>1000</v>
      </c>
      <c r="BK45" s="40"/>
      <c r="BL45" s="40">
        <v>3000</v>
      </c>
      <c r="BM45" s="40"/>
      <c r="BN45" s="40"/>
    </row>
    <row r="46" spans="1:66" x14ac:dyDescent="0.25">
      <c r="A46" s="25" t="s">
        <v>152</v>
      </c>
      <c r="B46" s="25" t="s">
        <v>153</v>
      </c>
      <c r="C46" s="26" t="s">
        <v>37</v>
      </c>
      <c r="D46" s="25" t="s">
        <v>38</v>
      </c>
      <c r="E46" s="27">
        <v>331722010000702</v>
      </c>
      <c r="F46" s="26" t="s">
        <v>91</v>
      </c>
      <c r="G46" s="28">
        <v>46203</v>
      </c>
      <c r="H46" s="29">
        <v>10000</v>
      </c>
      <c r="I46" s="29">
        <v>10000</v>
      </c>
      <c r="J46" s="30">
        <v>10000</v>
      </c>
      <c r="K46" s="30">
        <f t="shared" si="26"/>
        <v>7001</v>
      </c>
      <c r="L46" s="31">
        <v>500</v>
      </c>
      <c r="M46" s="30">
        <v>0</v>
      </c>
      <c r="N46" s="30">
        <v>6501</v>
      </c>
      <c r="O46" s="30">
        <f t="shared" si="5"/>
        <v>-2999</v>
      </c>
      <c r="P46" s="32">
        <f t="shared" si="29"/>
        <v>70.010000000000005</v>
      </c>
      <c r="Q46" s="33">
        <v>30</v>
      </c>
      <c r="R46" s="33">
        <v>0</v>
      </c>
      <c r="S46" s="33">
        <v>0</v>
      </c>
      <c r="T46" s="29">
        <f t="shared" si="6"/>
        <v>30</v>
      </c>
      <c r="U46" s="34">
        <f t="shared" si="28"/>
        <v>9677.4193548387102</v>
      </c>
      <c r="V46" s="34">
        <v>0</v>
      </c>
      <c r="W46" s="34">
        <v>0</v>
      </c>
      <c r="X46" s="35">
        <f t="shared" si="27"/>
        <v>9677.4193548387102</v>
      </c>
      <c r="Y46" s="34">
        <v>0</v>
      </c>
      <c r="Z46" s="34">
        <v>0</v>
      </c>
      <c r="AA46" s="35">
        <v>0</v>
      </c>
      <c r="AB46" s="35">
        <f t="shared" si="7"/>
        <v>9677.4193548387102</v>
      </c>
      <c r="AC46" s="36">
        <v>0</v>
      </c>
      <c r="AD46" s="36">
        <v>0</v>
      </c>
      <c r="AE46" s="37">
        <v>0</v>
      </c>
      <c r="AF46" s="38">
        <v>0</v>
      </c>
      <c r="AG46" s="37"/>
      <c r="AH46" s="38"/>
      <c r="AI46" s="37">
        <v>0</v>
      </c>
      <c r="AJ46" s="39"/>
      <c r="AK46" s="40"/>
      <c r="AL46" s="40"/>
      <c r="AM46" s="40"/>
      <c r="AN46" s="40"/>
      <c r="AO46" s="40"/>
      <c r="AP46" s="40"/>
      <c r="AQ46" s="40">
        <v>400</v>
      </c>
      <c r="AR46" s="40"/>
      <c r="AS46" s="40">
        <v>200</v>
      </c>
      <c r="AT46" s="40"/>
      <c r="AU46" s="40"/>
      <c r="AV46" s="40"/>
      <c r="AW46" s="40">
        <v>200</v>
      </c>
      <c r="AX46" s="40">
        <v>500</v>
      </c>
      <c r="AY46" s="40"/>
      <c r="AZ46" s="40"/>
      <c r="BA46" s="40"/>
      <c r="BB46" s="40"/>
      <c r="BC46" s="40">
        <v>500</v>
      </c>
      <c r="BD46" s="40">
        <v>0</v>
      </c>
      <c r="BE46" s="40">
        <v>0</v>
      </c>
      <c r="BF46" s="40">
        <v>0</v>
      </c>
      <c r="BG46" s="40">
        <v>4001</v>
      </c>
      <c r="BH46" s="40">
        <v>0</v>
      </c>
      <c r="BI46" s="40">
        <v>0</v>
      </c>
      <c r="BJ46" s="40">
        <v>0</v>
      </c>
      <c r="BK46" s="40">
        <v>700</v>
      </c>
      <c r="BL46" s="40">
        <v>0</v>
      </c>
      <c r="BM46" s="40">
        <v>500</v>
      </c>
      <c r="BN46" s="40">
        <v>0</v>
      </c>
    </row>
    <row r="47" spans="1:66" x14ac:dyDescent="0.25">
      <c r="A47" s="25" t="s">
        <v>154</v>
      </c>
      <c r="B47" s="25" t="s">
        <v>155</v>
      </c>
      <c r="C47" s="26" t="s">
        <v>37</v>
      </c>
      <c r="D47" s="25" t="s">
        <v>38</v>
      </c>
      <c r="E47" s="27">
        <v>316102010118925</v>
      </c>
      <c r="F47" s="26" t="s">
        <v>91</v>
      </c>
      <c r="G47" s="28">
        <v>46213</v>
      </c>
      <c r="H47" s="29">
        <v>10000</v>
      </c>
      <c r="I47" s="30">
        <v>10000</v>
      </c>
      <c r="J47" s="30">
        <v>10000</v>
      </c>
      <c r="K47" s="30">
        <f t="shared" si="26"/>
        <v>6502</v>
      </c>
      <c r="L47" s="31">
        <v>0</v>
      </c>
      <c r="M47" s="30">
        <v>0</v>
      </c>
      <c r="N47" s="30">
        <v>6502</v>
      </c>
      <c r="O47" s="30">
        <f t="shared" si="5"/>
        <v>-3498</v>
      </c>
      <c r="P47" s="32">
        <f t="shared" si="29"/>
        <v>65.02</v>
      </c>
      <c r="Q47" s="33">
        <v>21</v>
      </c>
      <c r="R47" s="33">
        <v>0</v>
      </c>
      <c r="S47" s="33">
        <v>0</v>
      </c>
      <c r="T47" s="29">
        <f t="shared" si="6"/>
        <v>21</v>
      </c>
      <c r="U47" s="34">
        <f t="shared" si="28"/>
        <v>6774.1935483870966</v>
      </c>
      <c r="V47" s="34">
        <v>0</v>
      </c>
      <c r="W47" s="34">
        <v>0</v>
      </c>
      <c r="X47" s="35">
        <f t="shared" si="27"/>
        <v>6774.1935483870966</v>
      </c>
      <c r="Y47" s="34">
        <v>0</v>
      </c>
      <c r="Z47" s="34">
        <v>0</v>
      </c>
      <c r="AA47" s="35">
        <v>0</v>
      </c>
      <c r="AB47" s="35">
        <f t="shared" si="7"/>
        <v>6774.1935483870966</v>
      </c>
      <c r="AC47" s="36">
        <v>0</v>
      </c>
      <c r="AD47" s="36">
        <v>0</v>
      </c>
      <c r="AE47" s="37">
        <v>0</v>
      </c>
      <c r="AF47" s="38">
        <v>0</v>
      </c>
      <c r="AG47" s="37"/>
      <c r="AH47" s="38"/>
      <c r="AI47" s="37">
        <v>0</v>
      </c>
      <c r="AJ47" s="39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>
        <v>500</v>
      </c>
      <c r="AY47" s="40"/>
      <c r="AZ47" s="40"/>
      <c r="BA47" s="40"/>
      <c r="BB47" s="40"/>
      <c r="BC47" s="40">
        <v>501</v>
      </c>
      <c r="BD47" s="40">
        <v>0</v>
      </c>
      <c r="BE47" s="40">
        <v>0</v>
      </c>
      <c r="BF47" s="40">
        <v>0</v>
      </c>
      <c r="BG47" s="40">
        <v>0</v>
      </c>
      <c r="BH47" s="40">
        <v>501</v>
      </c>
      <c r="BI47" s="40">
        <v>0</v>
      </c>
      <c r="BJ47" s="40"/>
      <c r="BK47" s="40"/>
      <c r="BL47" s="40"/>
      <c r="BM47" s="40">
        <v>5000</v>
      </c>
      <c r="BN47" s="40"/>
    </row>
    <row r="48" spans="1:66" x14ac:dyDescent="0.25">
      <c r="A48" s="25" t="s">
        <v>156</v>
      </c>
      <c r="B48" s="25" t="s">
        <v>157</v>
      </c>
      <c r="C48" s="26" t="s">
        <v>37</v>
      </c>
      <c r="D48" s="25" t="s">
        <v>90</v>
      </c>
      <c r="E48" s="27">
        <v>16106030019416</v>
      </c>
      <c r="F48" s="26" t="s">
        <v>91</v>
      </c>
      <c r="G48" s="28">
        <v>46209</v>
      </c>
      <c r="H48" s="29">
        <v>12000</v>
      </c>
      <c r="I48" s="29">
        <v>12000</v>
      </c>
      <c r="J48" s="30">
        <v>12000</v>
      </c>
      <c r="K48" s="30">
        <f t="shared" si="26"/>
        <v>5172</v>
      </c>
      <c r="L48" s="31">
        <v>0</v>
      </c>
      <c r="M48" s="30">
        <v>0</v>
      </c>
      <c r="N48" s="30">
        <v>5172</v>
      </c>
      <c r="O48" s="30">
        <f t="shared" si="5"/>
        <v>-6828</v>
      </c>
      <c r="P48" s="32">
        <f t="shared" si="29"/>
        <v>43.1</v>
      </c>
      <c r="Q48" s="33">
        <v>24</v>
      </c>
      <c r="R48" s="33">
        <v>0</v>
      </c>
      <c r="S48" s="33">
        <v>0</v>
      </c>
      <c r="T48" s="29">
        <f t="shared" si="6"/>
        <v>24</v>
      </c>
      <c r="U48" s="34">
        <f t="shared" si="28"/>
        <v>9290.322580645161</v>
      </c>
      <c r="V48" s="34">
        <v>0</v>
      </c>
      <c r="W48" s="34">
        <v>0</v>
      </c>
      <c r="X48" s="35">
        <f t="shared" si="27"/>
        <v>9290.322580645161</v>
      </c>
      <c r="Y48" s="34">
        <v>0</v>
      </c>
      <c r="Z48" s="34">
        <v>0</v>
      </c>
      <c r="AA48" s="35">
        <v>0</v>
      </c>
      <c r="AB48" s="35">
        <f t="shared" si="7"/>
        <v>9290.322580645161</v>
      </c>
      <c r="AC48" s="36">
        <v>0</v>
      </c>
      <c r="AD48" s="36">
        <v>0</v>
      </c>
      <c r="AE48" s="37">
        <v>0</v>
      </c>
      <c r="AF48" s="38">
        <v>0</v>
      </c>
      <c r="AG48" s="37"/>
      <c r="AH48" s="38"/>
      <c r="AI48" s="37">
        <v>0</v>
      </c>
      <c r="AJ48" s="39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>
        <v>400</v>
      </c>
      <c r="AX48" s="40">
        <v>200</v>
      </c>
      <c r="AY48" s="40">
        <v>500</v>
      </c>
      <c r="AZ48" s="40">
        <v>1250</v>
      </c>
      <c r="BA48" s="40">
        <v>100</v>
      </c>
      <c r="BB48" s="40"/>
      <c r="BC48" s="40">
        <v>21</v>
      </c>
      <c r="BD48" s="40">
        <v>200</v>
      </c>
      <c r="BE48" s="40">
        <v>1500</v>
      </c>
      <c r="BF48" s="40">
        <v>0</v>
      </c>
      <c r="BG48" s="40">
        <v>1001</v>
      </c>
      <c r="BH48" s="40">
        <v>0</v>
      </c>
      <c r="BI48" s="40">
        <v>0</v>
      </c>
      <c r="BJ48" s="40">
        <v>0</v>
      </c>
      <c r="BK48" s="40">
        <v>0</v>
      </c>
      <c r="BL48" s="40">
        <v>0</v>
      </c>
      <c r="BM48" s="40">
        <v>0</v>
      </c>
      <c r="BN48" s="40">
        <v>0</v>
      </c>
    </row>
    <row r="49" spans="1:66" x14ac:dyDescent="0.25">
      <c r="A49" s="25" t="s">
        <v>158</v>
      </c>
      <c r="B49" s="25" t="s">
        <v>159</v>
      </c>
      <c r="C49" s="26" t="s">
        <v>37</v>
      </c>
      <c r="D49" s="25" t="s">
        <v>38</v>
      </c>
      <c r="E49" s="27">
        <v>564002120005048</v>
      </c>
      <c r="F49" s="26" t="s">
        <v>91</v>
      </c>
      <c r="G49" s="28">
        <v>46203</v>
      </c>
      <c r="H49" s="29">
        <v>13000</v>
      </c>
      <c r="I49" s="29">
        <v>13000</v>
      </c>
      <c r="J49" s="30">
        <v>13000</v>
      </c>
      <c r="K49" s="30">
        <f t="shared" si="26"/>
        <v>7101</v>
      </c>
      <c r="L49" s="31">
        <v>0</v>
      </c>
      <c r="M49" s="30">
        <v>0</v>
      </c>
      <c r="N49" s="30">
        <v>7101</v>
      </c>
      <c r="O49" s="30">
        <f t="shared" si="5"/>
        <v>-5899</v>
      </c>
      <c r="P49" s="32">
        <f t="shared" si="29"/>
        <v>54.623076923076923</v>
      </c>
      <c r="Q49" s="33">
        <v>22</v>
      </c>
      <c r="R49" s="33">
        <v>0</v>
      </c>
      <c r="S49" s="33">
        <v>0</v>
      </c>
      <c r="T49" s="29">
        <f t="shared" si="6"/>
        <v>22</v>
      </c>
      <c r="U49" s="34">
        <f t="shared" si="28"/>
        <v>9225.8064516129034</v>
      </c>
      <c r="V49" s="34">
        <v>0</v>
      </c>
      <c r="W49" s="34">
        <v>0</v>
      </c>
      <c r="X49" s="35">
        <f t="shared" si="27"/>
        <v>9225.8064516129034</v>
      </c>
      <c r="Y49" s="34">
        <v>0</v>
      </c>
      <c r="Z49" s="34">
        <v>0</v>
      </c>
      <c r="AA49" s="35">
        <v>0</v>
      </c>
      <c r="AB49" s="35">
        <f t="shared" si="7"/>
        <v>9225.8064516129034</v>
      </c>
      <c r="AC49" s="36">
        <v>0</v>
      </c>
      <c r="AD49" s="36">
        <v>0</v>
      </c>
      <c r="AE49" s="37">
        <v>0</v>
      </c>
      <c r="AF49" s="38">
        <v>0</v>
      </c>
      <c r="AG49" s="37"/>
      <c r="AH49" s="38"/>
      <c r="AI49" s="37">
        <v>0</v>
      </c>
      <c r="AJ49" s="39"/>
      <c r="AK49" s="40"/>
      <c r="AL49" s="40"/>
      <c r="AM49" s="40"/>
      <c r="AN49" s="40"/>
      <c r="AO49" s="40"/>
      <c r="AP49" s="40"/>
      <c r="AQ49" s="40"/>
      <c r="AR49" s="40">
        <v>1000</v>
      </c>
      <c r="AS49" s="40"/>
      <c r="AT49" s="40"/>
      <c r="AU49" s="40"/>
      <c r="AV49" s="40"/>
      <c r="AW49" s="40">
        <v>200</v>
      </c>
      <c r="AX49" s="40"/>
      <c r="AY49" s="40"/>
      <c r="AZ49" s="40">
        <v>500</v>
      </c>
      <c r="BA49" s="40">
        <v>1101</v>
      </c>
      <c r="BB49" s="40"/>
      <c r="BC49" s="40">
        <v>3300</v>
      </c>
      <c r="BD49" s="40">
        <v>0</v>
      </c>
      <c r="BE49" s="40">
        <v>0</v>
      </c>
      <c r="BF49" s="40">
        <v>0</v>
      </c>
      <c r="BG49" s="40">
        <v>0</v>
      </c>
      <c r="BH49" s="40">
        <v>0</v>
      </c>
      <c r="BI49" s="40">
        <v>0</v>
      </c>
      <c r="BJ49" s="40"/>
      <c r="BK49" s="40"/>
      <c r="BL49" s="40">
        <v>1000</v>
      </c>
      <c r="BM49" s="40"/>
      <c r="BN49" s="40"/>
    </row>
    <row r="50" spans="1:66" x14ac:dyDescent="0.25">
      <c r="A50" s="25" t="s">
        <v>160</v>
      </c>
      <c r="B50" s="25" t="s">
        <v>161</v>
      </c>
      <c r="C50" s="26" t="s">
        <v>37</v>
      </c>
      <c r="D50" s="25" t="s">
        <v>144</v>
      </c>
      <c r="E50" s="27">
        <v>20511269622</v>
      </c>
      <c r="F50" s="26" t="s">
        <v>91</v>
      </c>
      <c r="G50" s="28">
        <v>46216</v>
      </c>
      <c r="H50" s="29">
        <v>25000</v>
      </c>
      <c r="I50" s="30">
        <v>100000</v>
      </c>
      <c r="J50" s="30">
        <v>100000</v>
      </c>
      <c r="K50" s="30">
        <f t="shared" si="26"/>
        <v>24152</v>
      </c>
      <c r="L50" s="31">
        <v>3000</v>
      </c>
      <c r="M50" s="30">
        <v>13901</v>
      </c>
      <c r="N50" s="30">
        <v>7251</v>
      </c>
      <c r="O50" s="30">
        <f t="shared" si="5"/>
        <v>-75848</v>
      </c>
      <c r="P50" s="32">
        <f t="shared" si="29"/>
        <v>24.152000000000001</v>
      </c>
      <c r="Q50" s="33">
        <v>19.5</v>
      </c>
      <c r="R50" s="33">
        <v>0</v>
      </c>
      <c r="S50" s="33">
        <v>0</v>
      </c>
      <c r="T50" s="29">
        <f t="shared" si="6"/>
        <v>19.5</v>
      </c>
      <c r="U50" s="34">
        <f t="shared" si="28"/>
        <v>15725.806451612903</v>
      </c>
      <c r="V50" s="34">
        <v>0</v>
      </c>
      <c r="W50" s="34">
        <v>0</v>
      </c>
      <c r="X50" s="35">
        <f t="shared" si="27"/>
        <v>15725.806451612903</v>
      </c>
      <c r="Y50" s="34">
        <v>0</v>
      </c>
      <c r="Z50" s="34">
        <v>0</v>
      </c>
      <c r="AA50" s="35">
        <v>0</v>
      </c>
      <c r="AB50" s="35">
        <f t="shared" si="7"/>
        <v>15725.806451612903</v>
      </c>
      <c r="AC50" s="36">
        <v>0</v>
      </c>
      <c r="AD50" s="36">
        <v>0</v>
      </c>
      <c r="AE50" s="37">
        <v>0</v>
      </c>
      <c r="AF50" s="38">
        <v>0</v>
      </c>
      <c r="AG50" s="37"/>
      <c r="AH50" s="38"/>
      <c r="AI50" s="37">
        <v>0</v>
      </c>
      <c r="AJ50" s="39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0</v>
      </c>
      <c r="AV50" s="40">
        <v>0</v>
      </c>
      <c r="AW50" s="40">
        <v>3000</v>
      </c>
      <c r="AX50" s="40">
        <v>500</v>
      </c>
      <c r="AY50" s="40">
        <v>750</v>
      </c>
      <c r="AZ50" s="40">
        <v>1000</v>
      </c>
      <c r="BA50" s="40">
        <v>0</v>
      </c>
      <c r="BB50" s="40">
        <v>0</v>
      </c>
      <c r="BC50" s="40">
        <v>2500</v>
      </c>
      <c r="BD50" s="40">
        <v>1000</v>
      </c>
      <c r="BE50" s="40">
        <v>1000</v>
      </c>
      <c r="BF50" s="40">
        <v>2900</v>
      </c>
      <c r="BG50" s="40">
        <v>501</v>
      </c>
      <c r="BH50" s="40">
        <v>0</v>
      </c>
      <c r="BI50" s="40">
        <v>0</v>
      </c>
      <c r="BJ50" s="40">
        <v>0</v>
      </c>
      <c r="BK50" s="40">
        <v>0</v>
      </c>
      <c r="BL50" s="40">
        <v>11000</v>
      </c>
      <c r="BM50" s="40">
        <v>0</v>
      </c>
      <c r="BN50" s="40">
        <v>1</v>
      </c>
    </row>
    <row r="51" spans="1:66" x14ac:dyDescent="0.25">
      <c r="A51" s="25" t="s">
        <v>162</v>
      </c>
      <c r="B51" s="41" t="s">
        <v>163</v>
      </c>
      <c r="C51" s="42" t="s">
        <v>136</v>
      </c>
      <c r="D51" s="41" t="s">
        <v>49</v>
      </c>
      <c r="E51" s="43">
        <v>5102500101677000</v>
      </c>
      <c r="F51" s="26" t="s">
        <v>91</v>
      </c>
      <c r="G51" s="28">
        <v>46228</v>
      </c>
      <c r="H51" s="29">
        <v>10000</v>
      </c>
      <c r="I51" s="29">
        <v>10000</v>
      </c>
      <c r="J51" s="30"/>
      <c r="K51" s="30"/>
      <c r="L51" s="31"/>
      <c r="M51" s="30"/>
      <c r="N51" s="30"/>
      <c r="O51" s="30">
        <f t="shared" si="5"/>
        <v>0</v>
      </c>
      <c r="P51" s="32"/>
      <c r="Q51" s="33">
        <v>6</v>
      </c>
      <c r="R51" s="33">
        <v>1.5</v>
      </c>
      <c r="S51" s="33">
        <v>0</v>
      </c>
      <c r="T51" s="29">
        <f t="shared" si="6"/>
        <v>4.5</v>
      </c>
      <c r="U51" s="34">
        <f t="shared" si="28"/>
        <v>1451.6129032258063</v>
      </c>
      <c r="V51" s="34"/>
      <c r="W51" s="34"/>
      <c r="X51" s="35"/>
      <c r="Y51" s="34"/>
      <c r="Z51" s="34"/>
      <c r="AA51" s="35"/>
      <c r="AB51" s="35">
        <f t="shared" si="7"/>
        <v>0</v>
      </c>
      <c r="AC51" s="36"/>
      <c r="AD51" s="36"/>
      <c r="AE51" s="37"/>
      <c r="AF51" s="38"/>
      <c r="AG51" s="37"/>
      <c r="AH51" s="38"/>
      <c r="AI51" s="37"/>
      <c r="AJ51" s="39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</row>
    <row r="52" spans="1:66" x14ac:dyDescent="0.25">
      <c r="A52" s="25" t="s">
        <v>164</v>
      </c>
      <c r="B52" s="25" t="s">
        <v>165</v>
      </c>
      <c r="C52" s="26" t="s">
        <v>37</v>
      </c>
      <c r="D52" s="25" t="s">
        <v>144</v>
      </c>
      <c r="E52" s="27">
        <v>37279626049</v>
      </c>
      <c r="F52" s="26" t="s">
        <v>91</v>
      </c>
      <c r="G52" s="28">
        <v>46228</v>
      </c>
      <c r="H52" s="47"/>
      <c r="I52" s="48"/>
      <c r="J52" s="30"/>
      <c r="K52" s="30"/>
      <c r="L52" s="31"/>
      <c r="M52" s="30"/>
      <c r="N52" s="30"/>
      <c r="O52" s="30">
        <f t="shared" si="5"/>
        <v>0</v>
      </c>
      <c r="P52" s="32"/>
      <c r="Q52" s="33">
        <v>6</v>
      </c>
      <c r="R52" s="33">
        <v>1.5</v>
      </c>
      <c r="S52" s="33">
        <v>0</v>
      </c>
      <c r="T52" s="29">
        <f t="shared" si="6"/>
        <v>4.5</v>
      </c>
      <c r="U52" s="34">
        <f t="shared" si="28"/>
        <v>0</v>
      </c>
      <c r="V52" s="34"/>
      <c r="W52" s="34"/>
      <c r="X52" s="35"/>
      <c r="Y52" s="34"/>
      <c r="Z52" s="34"/>
      <c r="AA52" s="35"/>
      <c r="AB52" s="35">
        <f t="shared" si="7"/>
        <v>0</v>
      </c>
      <c r="AC52" s="36"/>
      <c r="AD52" s="36"/>
      <c r="AE52" s="37"/>
      <c r="AF52" s="38"/>
      <c r="AG52" s="37"/>
      <c r="AH52" s="38"/>
      <c r="AI52" s="37"/>
      <c r="AJ52" s="39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</row>
    <row r="53" spans="1:66" s="24" customFormat="1" x14ac:dyDescent="0.25">
      <c r="A53" s="17" t="s">
        <v>140</v>
      </c>
      <c r="B53" s="17"/>
      <c r="C53" s="18"/>
      <c r="D53" s="17"/>
      <c r="E53" s="19"/>
      <c r="F53" s="18"/>
      <c r="G53" s="20"/>
      <c r="H53" s="21">
        <f>SUM(H54:H70)</f>
        <v>139000</v>
      </c>
      <c r="I53" s="21">
        <f t="shared" ref="I53:BN53" si="30">SUM(I54:I70)</f>
        <v>141000</v>
      </c>
      <c r="J53" s="21">
        <f t="shared" si="30"/>
        <v>175000</v>
      </c>
      <c r="K53" s="21">
        <f t="shared" si="30"/>
        <v>40577</v>
      </c>
      <c r="L53" s="21">
        <f t="shared" si="30"/>
        <v>22186</v>
      </c>
      <c r="M53" s="21">
        <f t="shared" si="30"/>
        <v>5554</v>
      </c>
      <c r="N53" s="21">
        <f t="shared" si="30"/>
        <v>12837</v>
      </c>
      <c r="O53" s="21">
        <f t="shared" si="5"/>
        <v>-134423</v>
      </c>
      <c r="P53" s="21" t="e">
        <f t="shared" si="30"/>
        <v>#DIV/0!</v>
      </c>
      <c r="Q53" s="21">
        <f t="shared" si="30"/>
        <v>207.5</v>
      </c>
      <c r="R53" s="21">
        <f t="shared" si="30"/>
        <v>0</v>
      </c>
      <c r="S53" s="21">
        <f t="shared" si="30"/>
        <v>0</v>
      </c>
      <c r="T53" s="21">
        <f t="shared" si="30"/>
        <v>207.5</v>
      </c>
      <c r="U53" s="21">
        <f t="shared" si="30"/>
        <v>55741.93548387097</v>
      </c>
      <c r="V53" s="21">
        <f t="shared" si="30"/>
        <v>1127.3</v>
      </c>
      <c r="W53" s="21">
        <f t="shared" si="30"/>
        <v>0</v>
      </c>
      <c r="X53" s="21">
        <f t="shared" si="30"/>
        <v>52030.525806451609</v>
      </c>
      <c r="Y53" s="21">
        <f t="shared" si="30"/>
        <v>0</v>
      </c>
      <c r="Z53" s="21">
        <f t="shared" si="30"/>
        <v>500</v>
      </c>
      <c r="AA53" s="21">
        <f t="shared" si="30"/>
        <v>0</v>
      </c>
      <c r="AB53" s="21">
        <f t="shared" si="7"/>
        <v>52530.525806451609</v>
      </c>
      <c r="AC53" s="21">
        <f t="shared" si="30"/>
        <v>0</v>
      </c>
      <c r="AD53" s="21">
        <f t="shared" si="30"/>
        <v>0</v>
      </c>
      <c r="AE53" s="21">
        <f t="shared" si="30"/>
        <v>0</v>
      </c>
      <c r="AF53" s="21">
        <f t="shared" si="30"/>
        <v>0</v>
      </c>
      <c r="AG53" s="21">
        <f t="shared" si="30"/>
        <v>0</v>
      </c>
      <c r="AH53" s="21">
        <f t="shared" si="30"/>
        <v>0</v>
      </c>
      <c r="AI53" s="21">
        <f t="shared" si="30"/>
        <v>0</v>
      </c>
      <c r="AJ53" s="21">
        <f t="shared" si="30"/>
        <v>0</v>
      </c>
      <c r="AK53" s="21">
        <f t="shared" si="30"/>
        <v>1250</v>
      </c>
      <c r="AL53" s="21">
        <f t="shared" si="30"/>
        <v>300</v>
      </c>
      <c r="AM53" s="21">
        <f t="shared" si="30"/>
        <v>2500</v>
      </c>
      <c r="AN53" s="21">
        <f t="shared" si="30"/>
        <v>200</v>
      </c>
      <c r="AO53" s="21">
        <f t="shared" si="30"/>
        <v>4251</v>
      </c>
      <c r="AP53" s="21">
        <f t="shared" si="30"/>
        <v>605</v>
      </c>
      <c r="AQ53" s="21">
        <f t="shared" si="30"/>
        <v>2200</v>
      </c>
      <c r="AR53" s="21">
        <f t="shared" si="30"/>
        <v>5678</v>
      </c>
      <c r="AS53" s="21">
        <f t="shared" si="30"/>
        <v>2300</v>
      </c>
      <c r="AT53" s="21">
        <f t="shared" si="30"/>
        <v>2851</v>
      </c>
      <c r="AU53" s="21">
        <f t="shared" si="30"/>
        <v>30</v>
      </c>
      <c r="AV53" s="21">
        <f t="shared" si="30"/>
        <v>2150</v>
      </c>
      <c r="AW53" s="21">
        <f t="shared" si="30"/>
        <v>4150</v>
      </c>
      <c r="AX53" s="21">
        <f t="shared" si="30"/>
        <v>2050</v>
      </c>
      <c r="AY53" s="21">
        <f t="shared" si="30"/>
        <v>1200</v>
      </c>
      <c r="AZ53" s="21">
        <f t="shared" si="30"/>
        <v>0</v>
      </c>
      <c r="BA53" s="21">
        <f t="shared" si="30"/>
        <v>0</v>
      </c>
      <c r="BB53" s="21">
        <f t="shared" si="30"/>
        <v>0</v>
      </c>
      <c r="BC53" s="21">
        <f t="shared" si="30"/>
        <v>1161</v>
      </c>
      <c r="BD53" s="21">
        <f t="shared" si="30"/>
        <v>1000</v>
      </c>
      <c r="BE53" s="21">
        <f t="shared" si="30"/>
        <v>0</v>
      </c>
      <c r="BF53" s="21">
        <f t="shared" si="30"/>
        <v>0</v>
      </c>
      <c r="BG53" s="21">
        <f t="shared" si="30"/>
        <v>0</v>
      </c>
      <c r="BH53" s="21">
        <f t="shared" si="30"/>
        <v>0</v>
      </c>
      <c r="BI53" s="21">
        <f t="shared" si="30"/>
        <v>0</v>
      </c>
      <c r="BJ53" s="21">
        <f t="shared" si="30"/>
        <v>200</v>
      </c>
      <c r="BK53" s="21">
        <f t="shared" si="30"/>
        <v>0</v>
      </c>
      <c r="BL53" s="21">
        <f t="shared" si="30"/>
        <v>1000</v>
      </c>
      <c r="BM53" s="21">
        <f t="shared" si="30"/>
        <v>1000</v>
      </c>
      <c r="BN53" s="21">
        <f t="shared" si="30"/>
        <v>4501</v>
      </c>
    </row>
    <row r="54" spans="1:66" x14ac:dyDescent="0.25">
      <c r="A54" s="49" t="s">
        <v>166</v>
      </c>
      <c r="B54" s="49"/>
      <c r="C54" s="50"/>
      <c r="D54" s="49"/>
      <c r="E54" s="51"/>
      <c r="F54" s="50"/>
      <c r="G54" s="52"/>
      <c r="H54" s="53">
        <v>0</v>
      </c>
      <c r="I54" s="54">
        <v>0</v>
      </c>
      <c r="J54" s="54">
        <v>0</v>
      </c>
      <c r="K54" s="54">
        <f t="shared" ref="K54:K70" si="31">SUM(AJ54:BN54)</f>
        <v>11273</v>
      </c>
      <c r="L54" s="55">
        <v>3236</v>
      </c>
      <c r="M54" s="54">
        <v>1800</v>
      </c>
      <c r="N54" s="54">
        <v>6237</v>
      </c>
      <c r="O54" s="54">
        <f t="shared" si="5"/>
        <v>11273</v>
      </c>
      <c r="P54" s="56" t="e">
        <f t="shared" ref="P54:P70" si="32">K54*100/I54</f>
        <v>#DIV/0!</v>
      </c>
      <c r="Q54" s="33">
        <v>0</v>
      </c>
      <c r="R54" s="33">
        <v>0</v>
      </c>
      <c r="S54" s="33">
        <v>0</v>
      </c>
      <c r="T54" s="29">
        <f t="shared" si="6"/>
        <v>0</v>
      </c>
      <c r="U54" s="57">
        <f t="shared" ref="U54:U70" si="33">H54*T54/31</f>
        <v>0</v>
      </c>
      <c r="V54" s="57">
        <f t="shared" si="8"/>
        <v>1127.3</v>
      </c>
      <c r="W54" s="57">
        <v>0</v>
      </c>
      <c r="X54" s="58">
        <f t="shared" ref="X54:X67" si="34">SUM(U54:W54)</f>
        <v>1127.3</v>
      </c>
      <c r="Y54" s="57">
        <v>0</v>
      </c>
      <c r="Z54" s="57">
        <v>0</v>
      </c>
      <c r="AA54" s="58">
        <v>0</v>
      </c>
      <c r="AB54" s="58">
        <f t="shared" si="7"/>
        <v>1127.3</v>
      </c>
      <c r="AC54" s="59">
        <v>0</v>
      </c>
      <c r="AD54" s="59">
        <v>0</v>
      </c>
      <c r="AE54" s="60"/>
      <c r="AF54" s="61">
        <v>0</v>
      </c>
      <c r="AG54" s="60"/>
      <c r="AH54" s="61"/>
      <c r="AI54" s="60">
        <v>0</v>
      </c>
      <c r="AJ54" s="62">
        <v>0</v>
      </c>
      <c r="AK54" s="63">
        <v>0</v>
      </c>
      <c r="AL54" s="63">
        <v>0</v>
      </c>
      <c r="AM54" s="63">
        <v>0</v>
      </c>
      <c r="AN54" s="63">
        <v>0</v>
      </c>
      <c r="AO54" s="63">
        <v>0</v>
      </c>
      <c r="AP54" s="63">
        <v>605</v>
      </c>
      <c r="AQ54" s="63">
        <v>250</v>
      </c>
      <c r="AR54" s="63">
        <v>226</v>
      </c>
      <c r="AS54" s="63">
        <v>250</v>
      </c>
      <c r="AT54" s="63">
        <v>400</v>
      </c>
      <c r="AU54" s="63">
        <v>30</v>
      </c>
      <c r="AV54" s="63">
        <v>0</v>
      </c>
      <c r="AW54" s="63">
        <v>2700</v>
      </c>
      <c r="AX54" s="63">
        <v>0</v>
      </c>
      <c r="AY54" s="63">
        <v>0</v>
      </c>
      <c r="AZ54" s="63">
        <v>0</v>
      </c>
      <c r="BA54" s="63">
        <v>0</v>
      </c>
      <c r="BB54" s="63">
        <v>0</v>
      </c>
      <c r="BC54" s="63">
        <v>111</v>
      </c>
      <c r="BD54" s="63">
        <v>0</v>
      </c>
      <c r="BE54" s="63">
        <v>0</v>
      </c>
      <c r="BF54" s="63">
        <v>0</v>
      </c>
      <c r="BG54" s="63">
        <v>0</v>
      </c>
      <c r="BH54" s="63">
        <v>0</v>
      </c>
      <c r="BI54" s="63">
        <v>0</v>
      </c>
      <c r="BJ54" s="63">
        <v>200</v>
      </c>
      <c r="BK54" s="63">
        <v>0</v>
      </c>
      <c r="BL54" s="63">
        <v>1000</v>
      </c>
      <c r="BM54" s="63">
        <v>1000</v>
      </c>
      <c r="BN54" s="63">
        <v>4501</v>
      </c>
    </row>
    <row r="55" spans="1:66" s="24" customFormat="1" x14ac:dyDescent="0.25">
      <c r="A55" s="64" t="s">
        <v>167</v>
      </c>
      <c r="B55" s="64" t="s">
        <v>168</v>
      </c>
      <c r="C55" s="65" t="s">
        <v>37</v>
      </c>
      <c r="D55" s="64" t="s">
        <v>65</v>
      </c>
      <c r="E55" s="66">
        <v>3970100026093</v>
      </c>
      <c r="F55" s="65" t="s">
        <v>95</v>
      </c>
      <c r="G55" s="67">
        <v>46206</v>
      </c>
      <c r="H55" s="68">
        <v>6000</v>
      </c>
      <c r="I55" s="68">
        <v>0</v>
      </c>
      <c r="J55" s="69">
        <v>0</v>
      </c>
      <c r="K55" s="69">
        <f t="shared" si="31"/>
        <v>0</v>
      </c>
      <c r="L55" s="70">
        <v>0</v>
      </c>
      <c r="M55" s="69">
        <v>0</v>
      </c>
      <c r="N55" s="69">
        <v>0</v>
      </c>
      <c r="O55" s="69">
        <f t="shared" si="5"/>
        <v>0</v>
      </c>
      <c r="P55" s="71" t="e">
        <f t="shared" si="32"/>
        <v>#DIV/0!</v>
      </c>
      <c r="Q55" s="72">
        <v>20</v>
      </c>
      <c r="R55" s="72">
        <v>0</v>
      </c>
      <c r="S55" s="72">
        <v>0</v>
      </c>
      <c r="T55" s="68">
        <f t="shared" si="6"/>
        <v>20</v>
      </c>
      <c r="U55" s="73">
        <f t="shared" si="33"/>
        <v>3870.9677419354839</v>
      </c>
      <c r="V55" s="73">
        <f>O55*10%</f>
        <v>0</v>
      </c>
      <c r="W55" s="73">
        <v>0</v>
      </c>
      <c r="X55" s="74">
        <f t="shared" si="34"/>
        <v>3870.9677419354839</v>
      </c>
      <c r="Y55" s="73">
        <v>0</v>
      </c>
      <c r="Z55" s="73">
        <v>0</v>
      </c>
      <c r="AA55" s="74">
        <v>0</v>
      </c>
      <c r="AB55" s="74">
        <f t="shared" si="7"/>
        <v>3870.9677419354839</v>
      </c>
      <c r="AC55" s="75">
        <v>0</v>
      </c>
      <c r="AD55" s="75">
        <v>0</v>
      </c>
      <c r="AE55" s="76">
        <v>0</v>
      </c>
      <c r="AF55" s="77">
        <v>0</v>
      </c>
      <c r="AG55" s="76"/>
      <c r="AH55" s="77"/>
      <c r="AI55" s="76">
        <v>0</v>
      </c>
      <c r="AJ55" s="78">
        <v>0</v>
      </c>
      <c r="AK55" s="79">
        <v>0</v>
      </c>
      <c r="AL55" s="79">
        <v>0</v>
      </c>
      <c r="AM55" s="79">
        <v>0</v>
      </c>
      <c r="AN55" s="79">
        <v>0</v>
      </c>
      <c r="AO55" s="79">
        <v>0</v>
      </c>
      <c r="AP55" s="79">
        <v>0</v>
      </c>
      <c r="AQ55" s="79">
        <v>0</v>
      </c>
      <c r="AR55" s="79">
        <v>0</v>
      </c>
      <c r="AS55" s="79">
        <v>0</v>
      </c>
      <c r="AT55" s="79">
        <v>0</v>
      </c>
      <c r="AU55" s="79">
        <v>0</v>
      </c>
      <c r="AV55" s="79">
        <v>0</v>
      </c>
      <c r="AW55" s="79">
        <v>0</v>
      </c>
      <c r="AX55" s="79">
        <v>0</v>
      </c>
      <c r="AY55" s="79">
        <v>0</v>
      </c>
      <c r="AZ55" s="79">
        <v>0</v>
      </c>
      <c r="BA55" s="79">
        <v>0</v>
      </c>
      <c r="BB55" s="79">
        <v>0</v>
      </c>
      <c r="BC55" s="79">
        <v>0</v>
      </c>
      <c r="BD55" s="79">
        <v>0</v>
      </c>
      <c r="BE55" s="79">
        <v>0</v>
      </c>
      <c r="BF55" s="79">
        <v>0</v>
      </c>
      <c r="BG55" s="79">
        <v>0</v>
      </c>
      <c r="BH55" s="79">
        <v>0</v>
      </c>
      <c r="BI55" s="79">
        <v>0</v>
      </c>
      <c r="BJ55" s="79">
        <v>0</v>
      </c>
      <c r="BK55" s="79">
        <v>0</v>
      </c>
      <c r="BL55" s="79">
        <v>0</v>
      </c>
      <c r="BM55" s="79">
        <v>0</v>
      </c>
      <c r="BN55" s="79">
        <v>0</v>
      </c>
    </row>
    <row r="56" spans="1:66" s="24" customFormat="1" x14ac:dyDescent="0.25">
      <c r="A56" s="64" t="s">
        <v>169</v>
      </c>
      <c r="B56" s="64" t="s">
        <v>170</v>
      </c>
      <c r="C56" s="65" t="s">
        <v>37</v>
      </c>
      <c r="D56" s="64" t="s">
        <v>83</v>
      </c>
      <c r="E56" s="66">
        <v>985010012366133</v>
      </c>
      <c r="F56" s="65" t="s">
        <v>95</v>
      </c>
      <c r="G56" s="67">
        <v>46210</v>
      </c>
      <c r="H56" s="68">
        <v>6000</v>
      </c>
      <c r="I56" s="68">
        <v>0</v>
      </c>
      <c r="J56" s="69">
        <v>0</v>
      </c>
      <c r="K56" s="69">
        <f t="shared" si="31"/>
        <v>0</v>
      </c>
      <c r="L56" s="70">
        <v>0</v>
      </c>
      <c r="M56" s="69">
        <v>0</v>
      </c>
      <c r="N56" s="69">
        <v>0</v>
      </c>
      <c r="O56" s="69">
        <f t="shared" si="5"/>
        <v>0</v>
      </c>
      <c r="P56" s="71" t="e">
        <f t="shared" si="32"/>
        <v>#DIV/0!</v>
      </c>
      <c r="Q56" s="72">
        <v>21.5</v>
      </c>
      <c r="R56" s="72">
        <v>0</v>
      </c>
      <c r="S56" s="72">
        <v>0</v>
      </c>
      <c r="T56" s="68">
        <f t="shared" si="6"/>
        <v>21.5</v>
      </c>
      <c r="U56" s="73">
        <f t="shared" si="33"/>
        <v>4161.2903225806449</v>
      </c>
      <c r="V56" s="73">
        <f>O56*10%</f>
        <v>0</v>
      </c>
      <c r="W56" s="73">
        <v>0</v>
      </c>
      <c r="X56" s="74">
        <f t="shared" si="34"/>
        <v>4161.2903225806449</v>
      </c>
      <c r="Y56" s="73">
        <v>0</v>
      </c>
      <c r="Z56" s="73">
        <v>0</v>
      </c>
      <c r="AA56" s="74">
        <v>0</v>
      </c>
      <c r="AB56" s="74">
        <f t="shared" si="7"/>
        <v>4161.2903225806449</v>
      </c>
      <c r="AC56" s="75">
        <v>0</v>
      </c>
      <c r="AD56" s="75">
        <v>0</v>
      </c>
      <c r="AE56" s="76">
        <v>0</v>
      </c>
      <c r="AF56" s="77">
        <v>0</v>
      </c>
      <c r="AG56" s="76"/>
      <c r="AH56" s="77"/>
      <c r="AI56" s="76">
        <v>0</v>
      </c>
      <c r="AJ56" s="78">
        <v>0</v>
      </c>
      <c r="AK56" s="79">
        <v>0</v>
      </c>
      <c r="AL56" s="79">
        <v>0</v>
      </c>
      <c r="AM56" s="79">
        <v>0</v>
      </c>
      <c r="AN56" s="79">
        <v>0</v>
      </c>
      <c r="AO56" s="79">
        <v>0</v>
      </c>
      <c r="AP56" s="79">
        <v>0</v>
      </c>
      <c r="AQ56" s="79">
        <v>0</v>
      </c>
      <c r="AR56" s="79">
        <v>0</v>
      </c>
      <c r="AS56" s="79">
        <v>0</v>
      </c>
      <c r="AT56" s="79">
        <v>0</v>
      </c>
      <c r="AU56" s="79">
        <v>0</v>
      </c>
      <c r="AV56" s="79">
        <v>0</v>
      </c>
      <c r="AW56" s="79">
        <v>0</v>
      </c>
      <c r="AX56" s="79">
        <v>0</v>
      </c>
      <c r="AY56" s="79">
        <v>0</v>
      </c>
      <c r="AZ56" s="79">
        <v>0</v>
      </c>
      <c r="BA56" s="79">
        <v>0</v>
      </c>
      <c r="BB56" s="79">
        <v>0</v>
      </c>
      <c r="BC56" s="79">
        <v>0</v>
      </c>
      <c r="BD56" s="79">
        <v>0</v>
      </c>
      <c r="BE56" s="79">
        <v>0</v>
      </c>
      <c r="BF56" s="79">
        <v>0</v>
      </c>
      <c r="BG56" s="79">
        <v>0</v>
      </c>
      <c r="BH56" s="79">
        <v>0</v>
      </c>
      <c r="BI56" s="79">
        <v>0</v>
      </c>
      <c r="BJ56" s="79">
        <v>0</v>
      </c>
      <c r="BK56" s="79">
        <v>0</v>
      </c>
      <c r="BL56" s="79">
        <v>0</v>
      </c>
      <c r="BM56" s="79">
        <v>0</v>
      </c>
      <c r="BN56" s="79">
        <v>0</v>
      </c>
    </row>
    <row r="57" spans="1:66" s="97" customFormat="1" x14ac:dyDescent="0.25">
      <c r="A57" s="80" t="s">
        <v>171</v>
      </c>
      <c r="B57" s="80" t="s">
        <v>172</v>
      </c>
      <c r="C57" s="81" t="s">
        <v>37</v>
      </c>
      <c r="D57" s="80" t="s">
        <v>122</v>
      </c>
      <c r="E57" s="82">
        <v>34320100011175</v>
      </c>
      <c r="F57" s="83" t="s">
        <v>95</v>
      </c>
      <c r="G57" s="84">
        <v>46199</v>
      </c>
      <c r="H57" s="85">
        <v>6000</v>
      </c>
      <c r="I57" s="86">
        <v>0</v>
      </c>
      <c r="J57" s="86">
        <v>0</v>
      </c>
      <c r="K57" s="86">
        <f t="shared" si="31"/>
        <v>0</v>
      </c>
      <c r="L57" s="87">
        <v>0</v>
      </c>
      <c r="M57" s="86">
        <v>0</v>
      </c>
      <c r="N57" s="86">
        <v>0</v>
      </c>
      <c r="O57" s="86">
        <f t="shared" si="5"/>
        <v>0</v>
      </c>
      <c r="P57" s="88" t="e">
        <f t="shared" si="32"/>
        <v>#DIV/0!</v>
      </c>
      <c r="Q57" s="89">
        <v>26.5</v>
      </c>
      <c r="R57" s="89">
        <v>0</v>
      </c>
      <c r="S57" s="89">
        <v>0</v>
      </c>
      <c r="T57" s="85">
        <f t="shared" si="6"/>
        <v>26.5</v>
      </c>
      <c r="U57" s="90">
        <f t="shared" si="33"/>
        <v>5129.0322580645161</v>
      </c>
      <c r="V57" s="90">
        <f>O57*10%</f>
        <v>0</v>
      </c>
      <c r="W57" s="90">
        <v>0</v>
      </c>
      <c r="X57" s="91">
        <f t="shared" si="34"/>
        <v>5129.0322580645161</v>
      </c>
      <c r="Y57" s="90">
        <v>0</v>
      </c>
      <c r="Z57" s="90">
        <v>500</v>
      </c>
      <c r="AA57" s="91">
        <v>0</v>
      </c>
      <c r="AB57" s="91">
        <f t="shared" si="7"/>
        <v>5629.0322580645161</v>
      </c>
      <c r="AC57" s="92">
        <v>0</v>
      </c>
      <c r="AD57" s="92">
        <v>0</v>
      </c>
      <c r="AE57" s="93">
        <v>0</v>
      </c>
      <c r="AF57" s="94">
        <v>0</v>
      </c>
      <c r="AG57" s="93"/>
      <c r="AH57" s="94"/>
      <c r="AI57" s="93">
        <v>0</v>
      </c>
      <c r="AJ57" s="95">
        <v>0</v>
      </c>
      <c r="AK57" s="96">
        <v>0</v>
      </c>
      <c r="AL57" s="96">
        <v>0</v>
      </c>
      <c r="AM57" s="96">
        <v>0</v>
      </c>
      <c r="AN57" s="96">
        <v>0</v>
      </c>
      <c r="AO57" s="96">
        <v>0</v>
      </c>
      <c r="AP57" s="96">
        <v>0</v>
      </c>
      <c r="AQ57" s="96">
        <v>0</v>
      </c>
      <c r="AR57" s="96">
        <v>0</v>
      </c>
      <c r="AS57" s="96">
        <v>0</v>
      </c>
      <c r="AT57" s="96">
        <v>0</v>
      </c>
      <c r="AU57" s="96">
        <v>0</v>
      </c>
      <c r="AV57" s="96">
        <v>0</v>
      </c>
      <c r="AW57" s="96">
        <v>0</v>
      </c>
      <c r="AX57" s="96">
        <v>0</v>
      </c>
      <c r="AY57" s="96">
        <v>0</v>
      </c>
      <c r="AZ57" s="96">
        <v>0</v>
      </c>
      <c r="BA57" s="96">
        <v>0</v>
      </c>
      <c r="BB57" s="96">
        <v>0</v>
      </c>
      <c r="BC57" s="96">
        <v>0</v>
      </c>
      <c r="BD57" s="96">
        <v>0</v>
      </c>
      <c r="BE57" s="96">
        <v>0</v>
      </c>
      <c r="BF57" s="96">
        <v>0</v>
      </c>
      <c r="BG57" s="96">
        <v>0</v>
      </c>
      <c r="BH57" s="96">
        <v>0</v>
      </c>
      <c r="BI57" s="96">
        <v>0</v>
      </c>
      <c r="BJ57" s="96">
        <v>0</v>
      </c>
      <c r="BK57" s="96">
        <v>0</v>
      </c>
      <c r="BL57" s="96">
        <v>0</v>
      </c>
      <c r="BM57" s="96">
        <v>0</v>
      </c>
      <c r="BN57" s="96">
        <v>0</v>
      </c>
    </row>
    <row r="58" spans="1:66" s="24" customFormat="1" x14ac:dyDescent="0.25">
      <c r="A58" s="64" t="s">
        <v>173</v>
      </c>
      <c r="B58" s="64" t="s">
        <v>174</v>
      </c>
      <c r="C58" s="65" t="s">
        <v>37</v>
      </c>
      <c r="D58" s="64" t="s">
        <v>38</v>
      </c>
      <c r="E58" s="66" t="s">
        <v>175</v>
      </c>
      <c r="F58" s="65" t="s">
        <v>91</v>
      </c>
      <c r="G58" s="67">
        <v>46204</v>
      </c>
      <c r="H58" s="68">
        <v>6000</v>
      </c>
      <c r="I58" s="68">
        <v>10000</v>
      </c>
      <c r="J58" s="69">
        <v>10000</v>
      </c>
      <c r="K58" s="69">
        <f t="shared" si="31"/>
        <v>550</v>
      </c>
      <c r="L58" s="70">
        <v>0</v>
      </c>
      <c r="M58" s="69">
        <v>0</v>
      </c>
      <c r="N58" s="69">
        <v>550</v>
      </c>
      <c r="O58" s="69">
        <f t="shared" si="5"/>
        <v>-9450</v>
      </c>
      <c r="P58" s="71">
        <f t="shared" si="32"/>
        <v>5.5</v>
      </c>
      <c r="Q58" s="72">
        <v>25.5</v>
      </c>
      <c r="R58" s="72">
        <v>0</v>
      </c>
      <c r="S58" s="72">
        <v>0</v>
      </c>
      <c r="T58" s="68">
        <f t="shared" si="6"/>
        <v>25.5</v>
      </c>
      <c r="U58" s="73">
        <f t="shared" si="33"/>
        <v>4935.4838709677415</v>
      </c>
      <c r="V58" s="73">
        <v>0</v>
      </c>
      <c r="W58" s="73">
        <v>0</v>
      </c>
      <c r="X58" s="74">
        <f t="shared" si="34"/>
        <v>4935.4838709677415</v>
      </c>
      <c r="Y58" s="73">
        <v>0</v>
      </c>
      <c r="Z58" s="73">
        <v>0</v>
      </c>
      <c r="AA58" s="74">
        <v>0</v>
      </c>
      <c r="AB58" s="74">
        <f t="shared" si="7"/>
        <v>4935.4838709677415</v>
      </c>
      <c r="AC58" s="75">
        <v>0</v>
      </c>
      <c r="AD58" s="75">
        <v>0</v>
      </c>
      <c r="AE58" s="76">
        <v>0</v>
      </c>
      <c r="AF58" s="77">
        <v>0</v>
      </c>
      <c r="AG58" s="76"/>
      <c r="AH58" s="77"/>
      <c r="AI58" s="76">
        <v>0</v>
      </c>
      <c r="AJ58" s="78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  <c r="AY58" s="79"/>
      <c r="AZ58" s="79"/>
      <c r="BA58" s="79"/>
      <c r="BB58" s="79"/>
      <c r="BC58" s="79">
        <v>550</v>
      </c>
      <c r="BD58" s="79">
        <v>0</v>
      </c>
      <c r="BE58" s="79">
        <v>0</v>
      </c>
      <c r="BF58" s="79">
        <v>0</v>
      </c>
      <c r="BG58" s="79">
        <v>0</v>
      </c>
      <c r="BH58" s="79">
        <v>0</v>
      </c>
      <c r="BI58" s="79">
        <v>0</v>
      </c>
      <c r="BJ58" s="79">
        <v>0</v>
      </c>
      <c r="BK58" s="79">
        <v>0</v>
      </c>
      <c r="BL58" s="79">
        <v>0</v>
      </c>
      <c r="BM58" s="79">
        <v>0</v>
      </c>
      <c r="BN58" s="79">
        <v>0</v>
      </c>
    </row>
    <row r="59" spans="1:66" s="24" customFormat="1" x14ac:dyDescent="0.25">
      <c r="A59" s="98" t="s">
        <v>176</v>
      </c>
      <c r="B59" s="98" t="s">
        <v>177</v>
      </c>
      <c r="C59" s="99" t="s">
        <v>37</v>
      </c>
      <c r="D59" s="98" t="s">
        <v>178</v>
      </c>
      <c r="E59" s="100">
        <v>13281000004987</v>
      </c>
      <c r="F59" s="99" t="s">
        <v>91</v>
      </c>
      <c r="G59" s="101">
        <v>46188</v>
      </c>
      <c r="H59" s="102">
        <v>12000</v>
      </c>
      <c r="I59" s="102">
        <v>12000</v>
      </c>
      <c r="J59" s="103">
        <f>H59*2</f>
        <v>24000</v>
      </c>
      <c r="K59" s="103">
        <f t="shared" si="31"/>
        <v>3250</v>
      </c>
      <c r="L59" s="104">
        <v>3250</v>
      </c>
      <c r="M59" s="103">
        <v>0</v>
      </c>
      <c r="N59" s="103">
        <v>0</v>
      </c>
      <c r="O59" s="103">
        <f t="shared" si="5"/>
        <v>-20750</v>
      </c>
      <c r="P59" s="105">
        <f t="shared" si="32"/>
        <v>27.083333333333332</v>
      </c>
      <c r="Q59" s="106">
        <v>12.5</v>
      </c>
      <c r="R59" s="106">
        <v>0</v>
      </c>
      <c r="S59" s="106">
        <v>0</v>
      </c>
      <c r="T59" s="102">
        <f t="shared" si="6"/>
        <v>12.5</v>
      </c>
      <c r="U59" s="107">
        <f t="shared" si="33"/>
        <v>4838.7096774193551</v>
      </c>
      <c r="V59" s="107">
        <v>0</v>
      </c>
      <c r="W59" s="107">
        <v>0</v>
      </c>
      <c r="X59" s="108">
        <f t="shared" si="34"/>
        <v>4838.7096774193551</v>
      </c>
      <c r="Y59" s="107">
        <v>0</v>
      </c>
      <c r="Z59" s="107">
        <v>0</v>
      </c>
      <c r="AA59" s="108">
        <v>0</v>
      </c>
      <c r="AB59" s="108">
        <f t="shared" si="7"/>
        <v>4838.7096774193551</v>
      </c>
      <c r="AC59" s="109">
        <v>0</v>
      </c>
      <c r="AD59" s="109">
        <v>0</v>
      </c>
      <c r="AE59" s="110">
        <v>0</v>
      </c>
      <c r="AF59" s="111">
        <v>0</v>
      </c>
      <c r="AG59" s="110"/>
      <c r="AH59" s="111"/>
      <c r="AI59" s="110">
        <v>0</v>
      </c>
      <c r="AJ59" s="112"/>
      <c r="AK59" s="113">
        <v>1250</v>
      </c>
      <c r="AL59" s="113"/>
      <c r="AM59" s="113">
        <v>1250</v>
      </c>
      <c r="AN59" s="113"/>
      <c r="AO59" s="113"/>
      <c r="AP59" s="113"/>
      <c r="AQ59" s="113">
        <v>250</v>
      </c>
      <c r="AR59" s="113"/>
      <c r="AS59" s="113"/>
      <c r="AT59" s="113">
        <v>500</v>
      </c>
      <c r="AU59" s="113"/>
      <c r="AV59" s="113"/>
      <c r="AW59" s="113"/>
      <c r="AX59" s="113"/>
      <c r="AY59" s="113"/>
      <c r="AZ59" s="113"/>
      <c r="BA59" s="113"/>
      <c r="BB59" s="113"/>
      <c r="BC59" s="113"/>
      <c r="BD59" s="113">
        <v>0</v>
      </c>
      <c r="BE59" s="113">
        <v>0</v>
      </c>
      <c r="BF59" s="113">
        <v>0</v>
      </c>
      <c r="BG59" s="113">
        <v>0</v>
      </c>
      <c r="BH59" s="113">
        <v>0</v>
      </c>
      <c r="BI59" s="113">
        <v>0</v>
      </c>
      <c r="BJ59" s="113">
        <v>0</v>
      </c>
      <c r="BK59" s="113">
        <v>0</v>
      </c>
      <c r="BL59" s="113">
        <v>0</v>
      </c>
      <c r="BM59" s="113">
        <v>0</v>
      </c>
      <c r="BN59" s="113">
        <v>0</v>
      </c>
    </row>
    <row r="60" spans="1:66" s="24" customFormat="1" x14ac:dyDescent="0.25">
      <c r="A60" s="98" t="s">
        <v>179</v>
      </c>
      <c r="B60" s="98" t="s">
        <v>180</v>
      </c>
      <c r="C60" s="99">
        <v>0</v>
      </c>
      <c r="D60" s="98" t="s">
        <v>181</v>
      </c>
      <c r="E60" s="100">
        <v>74699500623005</v>
      </c>
      <c r="F60" s="99" t="s">
        <v>91</v>
      </c>
      <c r="G60" s="101">
        <v>46209</v>
      </c>
      <c r="H60" s="102">
        <v>10000</v>
      </c>
      <c r="I60" s="102">
        <v>10000</v>
      </c>
      <c r="J60" s="103">
        <v>10000</v>
      </c>
      <c r="K60" s="103">
        <f t="shared" si="31"/>
        <v>1050</v>
      </c>
      <c r="L60" s="104">
        <v>0</v>
      </c>
      <c r="M60" s="103">
        <v>0</v>
      </c>
      <c r="N60" s="103">
        <v>1050</v>
      </c>
      <c r="O60" s="103">
        <f t="shared" si="5"/>
        <v>-8950</v>
      </c>
      <c r="P60" s="105">
        <f t="shared" si="32"/>
        <v>10.5</v>
      </c>
      <c r="Q60" s="106">
        <v>8.5</v>
      </c>
      <c r="R60" s="106">
        <v>0</v>
      </c>
      <c r="S60" s="106">
        <v>0</v>
      </c>
      <c r="T60" s="102">
        <f t="shared" si="6"/>
        <v>8.5</v>
      </c>
      <c r="U60" s="107">
        <f t="shared" si="33"/>
        <v>2741.9354838709678</v>
      </c>
      <c r="V60" s="107">
        <v>0</v>
      </c>
      <c r="W60" s="107">
        <v>0</v>
      </c>
      <c r="X60" s="108">
        <f t="shared" si="34"/>
        <v>2741.9354838709678</v>
      </c>
      <c r="Y60" s="107">
        <v>0</v>
      </c>
      <c r="Z60" s="107">
        <v>0</v>
      </c>
      <c r="AA60" s="108">
        <v>0</v>
      </c>
      <c r="AB60" s="108">
        <f t="shared" si="7"/>
        <v>2741.9354838709678</v>
      </c>
      <c r="AC60" s="109">
        <v>0</v>
      </c>
      <c r="AD60" s="109">
        <v>0</v>
      </c>
      <c r="AE60" s="110">
        <v>0</v>
      </c>
      <c r="AF60" s="111">
        <v>0</v>
      </c>
      <c r="AG60" s="110"/>
      <c r="AH60" s="111"/>
      <c r="AI60" s="110">
        <v>0</v>
      </c>
      <c r="AJ60" s="112"/>
      <c r="AK60" s="113"/>
      <c r="AL60" s="113"/>
      <c r="AM60" s="113"/>
      <c r="AN60" s="113"/>
      <c r="AO60" s="113"/>
      <c r="AP60" s="113"/>
      <c r="AQ60" s="113"/>
      <c r="AR60" s="113"/>
      <c r="AS60" s="113"/>
      <c r="AT60" s="113"/>
      <c r="AU60" s="113"/>
      <c r="AV60" s="113">
        <v>200</v>
      </c>
      <c r="AW60" s="113">
        <v>150</v>
      </c>
      <c r="AX60" s="113"/>
      <c r="AY60" s="113">
        <v>700</v>
      </c>
      <c r="AZ60" s="113"/>
      <c r="BA60" s="113"/>
      <c r="BB60" s="113"/>
      <c r="BC60" s="113"/>
      <c r="BD60" s="113">
        <v>0</v>
      </c>
      <c r="BE60" s="113">
        <v>0</v>
      </c>
      <c r="BF60" s="113">
        <v>0</v>
      </c>
      <c r="BG60" s="113">
        <v>0</v>
      </c>
      <c r="BH60" s="113">
        <v>0</v>
      </c>
      <c r="BI60" s="113">
        <v>0</v>
      </c>
      <c r="BJ60" s="113">
        <v>0</v>
      </c>
      <c r="BK60" s="113">
        <v>0</v>
      </c>
      <c r="BL60" s="113">
        <v>0</v>
      </c>
      <c r="BM60" s="113">
        <v>0</v>
      </c>
      <c r="BN60" s="113">
        <v>0</v>
      </c>
    </row>
    <row r="61" spans="1:66" s="24" customFormat="1" x14ac:dyDescent="0.25">
      <c r="A61" s="98" t="s">
        <v>182</v>
      </c>
      <c r="B61" s="98" t="s">
        <v>182</v>
      </c>
      <c r="C61" s="99" t="s">
        <v>37</v>
      </c>
      <c r="D61" s="98" t="s">
        <v>38</v>
      </c>
      <c r="E61" s="100">
        <v>454002010008132</v>
      </c>
      <c r="F61" s="99" t="s">
        <v>91</v>
      </c>
      <c r="G61" s="101">
        <v>46213</v>
      </c>
      <c r="H61" s="102">
        <v>10000</v>
      </c>
      <c r="I61" s="102">
        <v>10000</v>
      </c>
      <c r="J61" s="103">
        <v>10000</v>
      </c>
      <c r="K61" s="103">
        <f t="shared" si="31"/>
        <v>500</v>
      </c>
      <c r="L61" s="104">
        <v>0</v>
      </c>
      <c r="M61" s="103">
        <v>0</v>
      </c>
      <c r="N61" s="103">
        <v>500</v>
      </c>
      <c r="O61" s="103">
        <f t="shared" si="5"/>
        <v>-9500</v>
      </c>
      <c r="P61" s="105">
        <f t="shared" si="32"/>
        <v>5</v>
      </c>
      <c r="Q61" s="106">
        <v>0</v>
      </c>
      <c r="R61" s="106">
        <v>0</v>
      </c>
      <c r="S61" s="106">
        <v>0</v>
      </c>
      <c r="T61" s="102">
        <f t="shared" si="6"/>
        <v>0</v>
      </c>
      <c r="U61" s="107">
        <f t="shared" si="33"/>
        <v>0</v>
      </c>
      <c r="V61" s="107">
        <v>0</v>
      </c>
      <c r="W61" s="107">
        <v>0</v>
      </c>
      <c r="X61" s="108">
        <f t="shared" si="34"/>
        <v>0</v>
      </c>
      <c r="Y61" s="107">
        <v>0</v>
      </c>
      <c r="Z61" s="107">
        <v>0</v>
      </c>
      <c r="AA61" s="108">
        <v>0</v>
      </c>
      <c r="AB61" s="108">
        <f t="shared" si="7"/>
        <v>0</v>
      </c>
      <c r="AC61" s="109">
        <v>0</v>
      </c>
      <c r="AD61" s="109">
        <v>0</v>
      </c>
      <c r="AE61" s="110">
        <v>0</v>
      </c>
      <c r="AF61" s="111">
        <v>0</v>
      </c>
      <c r="AG61" s="110"/>
      <c r="AH61" s="111"/>
      <c r="AI61" s="110">
        <v>0</v>
      </c>
      <c r="AJ61" s="112"/>
      <c r="AK61" s="113"/>
      <c r="AL61" s="113"/>
      <c r="AM61" s="113"/>
      <c r="AN61" s="113"/>
      <c r="AO61" s="113"/>
      <c r="AP61" s="113"/>
      <c r="AQ61" s="113"/>
      <c r="AR61" s="113"/>
      <c r="AS61" s="113"/>
      <c r="AT61" s="113"/>
      <c r="AU61" s="113"/>
      <c r="AV61" s="113"/>
      <c r="AW61" s="113"/>
      <c r="AX61" s="113"/>
      <c r="AY61" s="113"/>
      <c r="AZ61" s="113"/>
      <c r="BA61" s="113"/>
      <c r="BB61" s="113"/>
      <c r="BC61" s="113">
        <v>500</v>
      </c>
      <c r="BD61" s="113">
        <v>0</v>
      </c>
      <c r="BE61" s="113">
        <v>0</v>
      </c>
      <c r="BF61" s="113">
        <v>0</v>
      </c>
      <c r="BG61" s="113">
        <v>0</v>
      </c>
      <c r="BH61" s="113">
        <v>0</v>
      </c>
      <c r="BI61" s="113">
        <v>0</v>
      </c>
      <c r="BJ61" s="113">
        <v>0</v>
      </c>
      <c r="BK61" s="113">
        <v>0</v>
      </c>
      <c r="BL61" s="113">
        <v>0</v>
      </c>
      <c r="BM61" s="113">
        <v>0</v>
      </c>
      <c r="BN61" s="113">
        <v>0</v>
      </c>
    </row>
    <row r="62" spans="1:66" s="24" customFormat="1" x14ac:dyDescent="0.25">
      <c r="A62" s="98" t="s">
        <v>183</v>
      </c>
      <c r="B62" s="98" t="s">
        <v>184</v>
      </c>
      <c r="C62" s="99" t="s">
        <v>37</v>
      </c>
      <c r="D62" s="98" t="s">
        <v>38</v>
      </c>
      <c r="E62" s="100">
        <v>85612010004341</v>
      </c>
      <c r="F62" s="99" t="s">
        <v>91</v>
      </c>
      <c r="G62" s="101">
        <v>46216</v>
      </c>
      <c r="H62" s="102">
        <v>10000</v>
      </c>
      <c r="I62" s="102">
        <v>10000</v>
      </c>
      <c r="J62" s="103">
        <v>10000</v>
      </c>
      <c r="K62" s="103">
        <f t="shared" si="31"/>
        <v>0</v>
      </c>
      <c r="L62" s="104">
        <v>0</v>
      </c>
      <c r="M62" s="103">
        <v>0</v>
      </c>
      <c r="N62" s="103">
        <v>0</v>
      </c>
      <c r="O62" s="103">
        <f t="shared" si="5"/>
        <v>-10000</v>
      </c>
      <c r="P62" s="105">
        <f t="shared" si="32"/>
        <v>0</v>
      </c>
      <c r="Q62" s="106">
        <v>0</v>
      </c>
      <c r="R62" s="106">
        <v>0</v>
      </c>
      <c r="S62" s="106">
        <v>0</v>
      </c>
      <c r="T62" s="102">
        <f t="shared" si="6"/>
        <v>0</v>
      </c>
      <c r="U62" s="107">
        <f t="shared" si="33"/>
        <v>0</v>
      </c>
      <c r="V62" s="107">
        <v>0</v>
      </c>
      <c r="W62" s="107">
        <v>0</v>
      </c>
      <c r="X62" s="108">
        <f t="shared" si="34"/>
        <v>0</v>
      </c>
      <c r="Y62" s="107">
        <v>0</v>
      </c>
      <c r="Z62" s="107">
        <v>0</v>
      </c>
      <c r="AA62" s="108">
        <v>0</v>
      </c>
      <c r="AB62" s="108">
        <f t="shared" si="7"/>
        <v>0</v>
      </c>
      <c r="AC62" s="109">
        <v>0</v>
      </c>
      <c r="AD62" s="109">
        <v>0</v>
      </c>
      <c r="AE62" s="110">
        <v>0</v>
      </c>
      <c r="AF62" s="111">
        <v>0</v>
      </c>
      <c r="AG62" s="110"/>
      <c r="AH62" s="111"/>
      <c r="AI62" s="110">
        <v>0</v>
      </c>
      <c r="AJ62" s="112">
        <v>0</v>
      </c>
      <c r="AK62" s="113">
        <v>0</v>
      </c>
      <c r="AL62" s="113">
        <v>0</v>
      </c>
      <c r="AM62" s="113">
        <v>0</v>
      </c>
      <c r="AN62" s="113">
        <v>0</v>
      </c>
      <c r="AO62" s="113">
        <v>0</v>
      </c>
      <c r="AP62" s="113">
        <v>0</v>
      </c>
      <c r="AQ62" s="113">
        <v>0</v>
      </c>
      <c r="AR62" s="113">
        <v>0</v>
      </c>
      <c r="AS62" s="113">
        <v>0</v>
      </c>
      <c r="AT62" s="113">
        <v>0</v>
      </c>
      <c r="AU62" s="113">
        <v>0</v>
      </c>
      <c r="AV62" s="113">
        <v>0</v>
      </c>
      <c r="AW62" s="113">
        <v>0</v>
      </c>
      <c r="AX62" s="113">
        <v>0</v>
      </c>
      <c r="AY62" s="113">
        <v>0</v>
      </c>
      <c r="AZ62" s="113">
        <v>0</v>
      </c>
      <c r="BA62" s="113">
        <v>0</v>
      </c>
      <c r="BB62" s="113">
        <v>0</v>
      </c>
      <c r="BC62" s="113">
        <v>0</v>
      </c>
      <c r="BD62" s="113">
        <v>0</v>
      </c>
      <c r="BE62" s="113">
        <v>0</v>
      </c>
      <c r="BF62" s="113">
        <v>0</v>
      </c>
      <c r="BG62" s="113">
        <v>0</v>
      </c>
      <c r="BH62" s="113">
        <v>0</v>
      </c>
      <c r="BI62" s="113">
        <v>0</v>
      </c>
      <c r="BJ62" s="113">
        <v>0</v>
      </c>
      <c r="BK62" s="113">
        <v>0</v>
      </c>
      <c r="BL62" s="113">
        <v>0</v>
      </c>
      <c r="BM62" s="113">
        <v>0</v>
      </c>
      <c r="BN62" s="113">
        <v>0</v>
      </c>
    </row>
    <row r="63" spans="1:66" s="24" customFormat="1" x14ac:dyDescent="0.25">
      <c r="A63" s="98" t="s">
        <v>185</v>
      </c>
      <c r="B63" s="98" t="s">
        <v>180</v>
      </c>
      <c r="C63" s="99">
        <v>0</v>
      </c>
      <c r="D63" s="98">
        <v>0</v>
      </c>
      <c r="E63" s="100">
        <v>0</v>
      </c>
      <c r="F63" s="99" t="s">
        <v>91</v>
      </c>
      <c r="G63" s="101">
        <v>0</v>
      </c>
      <c r="H63" s="102">
        <v>0</v>
      </c>
      <c r="I63" s="102">
        <v>0</v>
      </c>
      <c r="J63" s="103">
        <v>0</v>
      </c>
      <c r="K63" s="103">
        <f t="shared" si="31"/>
        <v>3300</v>
      </c>
      <c r="L63" s="104">
        <v>0</v>
      </c>
      <c r="M63" s="103">
        <v>0</v>
      </c>
      <c r="N63" s="103">
        <v>3300</v>
      </c>
      <c r="O63" s="103">
        <f t="shared" si="5"/>
        <v>3300</v>
      </c>
      <c r="P63" s="105" t="e">
        <f t="shared" si="32"/>
        <v>#DIV/0!</v>
      </c>
      <c r="Q63" s="106">
        <v>5</v>
      </c>
      <c r="R63" s="106">
        <v>0</v>
      </c>
      <c r="S63" s="106">
        <v>0</v>
      </c>
      <c r="T63" s="102">
        <f t="shared" si="6"/>
        <v>5</v>
      </c>
      <c r="U63" s="107">
        <f t="shared" si="33"/>
        <v>0</v>
      </c>
      <c r="V63" s="107">
        <v>0</v>
      </c>
      <c r="W63" s="107">
        <v>0</v>
      </c>
      <c r="X63" s="108">
        <f t="shared" si="34"/>
        <v>0</v>
      </c>
      <c r="Y63" s="107">
        <v>0</v>
      </c>
      <c r="Z63" s="107">
        <v>0</v>
      </c>
      <c r="AA63" s="108">
        <v>0</v>
      </c>
      <c r="AB63" s="108">
        <f t="shared" si="7"/>
        <v>0</v>
      </c>
      <c r="AC63" s="109">
        <v>0</v>
      </c>
      <c r="AD63" s="109">
        <v>0</v>
      </c>
      <c r="AE63" s="110">
        <v>0</v>
      </c>
      <c r="AF63" s="111">
        <v>0</v>
      </c>
      <c r="AG63" s="110"/>
      <c r="AH63" s="111"/>
      <c r="AI63" s="110">
        <v>0</v>
      </c>
      <c r="AJ63" s="112"/>
      <c r="AK63" s="113"/>
      <c r="AL63" s="113"/>
      <c r="AM63" s="113"/>
      <c r="AN63" s="113"/>
      <c r="AO63" s="113">
        <v>3300</v>
      </c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3"/>
      <c r="BA63" s="113"/>
      <c r="BB63" s="113"/>
      <c r="BC63" s="113"/>
      <c r="BD63" s="113">
        <v>0</v>
      </c>
      <c r="BE63" s="113">
        <v>0</v>
      </c>
      <c r="BF63" s="113">
        <v>0</v>
      </c>
      <c r="BG63" s="113">
        <v>0</v>
      </c>
      <c r="BH63" s="113">
        <v>0</v>
      </c>
      <c r="BI63" s="113">
        <v>0</v>
      </c>
      <c r="BJ63" s="113">
        <v>0</v>
      </c>
      <c r="BK63" s="113">
        <v>0</v>
      </c>
      <c r="BL63" s="113">
        <v>0</v>
      </c>
      <c r="BM63" s="113">
        <v>0</v>
      </c>
      <c r="BN63" s="113">
        <v>0</v>
      </c>
    </row>
    <row r="64" spans="1:66" s="24" customFormat="1" x14ac:dyDescent="0.25">
      <c r="A64" s="98" t="s">
        <v>186</v>
      </c>
      <c r="B64" s="98" t="s">
        <v>180</v>
      </c>
      <c r="C64" s="99">
        <v>0</v>
      </c>
      <c r="D64" s="98" t="s">
        <v>187</v>
      </c>
      <c r="E64" s="100">
        <v>100222211001276</v>
      </c>
      <c r="F64" s="99" t="s">
        <v>91</v>
      </c>
      <c r="G64" s="101">
        <v>46219</v>
      </c>
      <c r="H64" s="102">
        <v>10000</v>
      </c>
      <c r="I64" s="102">
        <v>10000</v>
      </c>
      <c r="J64" s="103">
        <v>10000</v>
      </c>
      <c r="K64" s="103">
        <f t="shared" si="31"/>
        <v>0</v>
      </c>
      <c r="L64" s="104">
        <v>0</v>
      </c>
      <c r="M64" s="103">
        <v>0</v>
      </c>
      <c r="N64" s="103">
        <v>0</v>
      </c>
      <c r="O64" s="103">
        <f t="shared" si="5"/>
        <v>-10000</v>
      </c>
      <c r="P64" s="105">
        <f t="shared" si="32"/>
        <v>0</v>
      </c>
      <c r="Q64" s="106">
        <v>6</v>
      </c>
      <c r="R64" s="106">
        <v>0</v>
      </c>
      <c r="S64" s="106">
        <v>0</v>
      </c>
      <c r="T64" s="102">
        <f t="shared" si="6"/>
        <v>6</v>
      </c>
      <c r="U64" s="107">
        <f t="shared" si="33"/>
        <v>1935.483870967742</v>
      </c>
      <c r="V64" s="107">
        <v>0</v>
      </c>
      <c r="W64" s="107" t="s">
        <v>188</v>
      </c>
      <c r="X64" s="108">
        <f t="shared" si="34"/>
        <v>1935.483870967742</v>
      </c>
      <c r="Y64" s="107">
        <v>0</v>
      </c>
      <c r="Z64" s="107">
        <v>0</v>
      </c>
      <c r="AA64" s="108">
        <v>0</v>
      </c>
      <c r="AB64" s="108">
        <f t="shared" si="7"/>
        <v>1935.483870967742</v>
      </c>
      <c r="AC64" s="109">
        <v>0</v>
      </c>
      <c r="AD64" s="109">
        <v>0</v>
      </c>
      <c r="AE64" s="110">
        <v>0</v>
      </c>
      <c r="AF64" s="111">
        <v>0</v>
      </c>
      <c r="AG64" s="110"/>
      <c r="AH64" s="111"/>
      <c r="AI64" s="110">
        <v>0</v>
      </c>
      <c r="AJ64" s="112">
        <v>0</v>
      </c>
      <c r="AK64" s="113">
        <v>0</v>
      </c>
      <c r="AL64" s="113">
        <v>0</v>
      </c>
      <c r="AM64" s="113">
        <v>0</v>
      </c>
      <c r="AN64" s="113">
        <v>0</v>
      </c>
      <c r="AO64" s="113">
        <v>0</v>
      </c>
      <c r="AP64" s="113">
        <v>0</v>
      </c>
      <c r="AQ64" s="113">
        <v>0</v>
      </c>
      <c r="AR64" s="113">
        <v>0</v>
      </c>
      <c r="AS64" s="113">
        <v>0</v>
      </c>
      <c r="AT64" s="113">
        <v>0</v>
      </c>
      <c r="AU64" s="113">
        <v>0</v>
      </c>
      <c r="AV64" s="113">
        <v>0</v>
      </c>
      <c r="AW64" s="113">
        <v>0</v>
      </c>
      <c r="AX64" s="113">
        <v>0</v>
      </c>
      <c r="AY64" s="113">
        <v>0</v>
      </c>
      <c r="AZ64" s="113">
        <v>0</v>
      </c>
      <c r="BA64" s="113">
        <v>0</v>
      </c>
      <c r="BB64" s="113">
        <v>0</v>
      </c>
      <c r="BC64" s="113">
        <v>0</v>
      </c>
      <c r="BD64" s="113">
        <v>0</v>
      </c>
      <c r="BE64" s="113">
        <v>0</v>
      </c>
      <c r="BF64" s="113">
        <v>0</v>
      </c>
      <c r="BG64" s="113">
        <v>0</v>
      </c>
      <c r="BH64" s="113">
        <v>0</v>
      </c>
      <c r="BI64" s="113">
        <v>0</v>
      </c>
      <c r="BJ64" s="113">
        <v>0</v>
      </c>
      <c r="BK64" s="113">
        <v>0</v>
      </c>
      <c r="BL64" s="113">
        <v>0</v>
      </c>
      <c r="BM64" s="113">
        <v>0</v>
      </c>
      <c r="BN64" s="113">
        <v>0</v>
      </c>
    </row>
    <row r="65" spans="1:66" s="24" customFormat="1" x14ac:dyDescent="0.25">
      <c r="A65" s="98" t="s">
        <v>189</v>
      </c>
      <c r="B65" s="98" t="s">
        <v>190</v>
      </c>
      <c r="C65" s="99" t="s">
        <v>37</v>
      </c>
      <c r="D65" s="98" t="s">
        <v>38</v>
      </c>
      <c r="E65" s="100">
        <v>293710100012163</v>
      </c>
      <c r="F65" s="99" t="s">
        <v>95</v>
      </c>
      <c r="G65" s="101">
        <v>46175</v>
      </c>
      <c r="H65" s="102">
        <v>10000</v>
      </c>
      <c r="I65" s="102">
        <v>0</v>
      </c>
      <c r="J65" s="103">
        <v>0</v>
      </c>
      <c r="K65" s="103">
        <f t="shared" si="31"/>
        <v>0</v>
      </c>
      <c r="L65" s="104">
        <v>0</v>
      </c>
      <c r="M65" s="103">
        <v>0</v>
      </c>
      <c r="N65" s="103">
        <v>0</v>
      </c>
      <c r="O65" s="103">
        <f t="shared" si="5"/>
        <v>0</v>
      </c>
      <c r="P65" s="105" t="e">
        <f t="shared" si="32"/>
        <v>#DIV/0!</v>
      </c>
      <c r="Q65" s="106">
        <v>7</v>
      </c>
      <c r="R65" s="106">
        <v>0</v>
      </c>
      <c r="S65" s="106">
        <v>0</v>
      </c>
      <c r="T65" s="102">
        <f t="shared" si="6"/>
        <v>7</v>
      </c>
      <c r="U65" s="107">
        <f t="shared" si="33"/>
        <v>2258.0645161290322</v>
      </c>
      <c r="V65" s="107">
        <f>O65*10%</f>
        <v>0</v>
      </c>
      <c r="W65" s="107">
        <v>0</v>
      </c>
      <c r="X65" s="108">
        <f t="shared" si="34"/>
        <v>2258.0645161290322</v>
      </c>
      <c r="Y65" s="107">
        <v>0</v>
      </c>
      <c r="Z65" s="107">
        <v>0</v>
      </c>
      <c r="AA65" s="108">
        <v>0</v>
      </c>
      <c r="AB65" s="108">
        <f t="shared" si="7"/>
        <v>2258.0645161290322</v>
      </c>
      <c r="AC65" s="109">
        <v>0</v>
      </c>
      <c r="AD65" s="109">
        <v>0</v>
      </c>
      <c r="AE65" s="110">
        <v>0</v>
      </c>
      <c r="AF65" s="111">
        <v>0</v>
      </c>
      <c r="AG65" s="110"/>
      <c r="AH65" s="111"/>
      <c r="AI65" s="110">
        <v>0</v>
      </c>
      <c r="AJ65" s="112">
        <v>0</v>
      </c>
      <c r="AK65" s="113">
        <v>0</v>
      </c>
      <c r="AL65" s="113">
        <v>0</v>
      </c>
      <c r="AM65" s="113">
        <v>0</v>
      </c>
      <c r="AN65" s="113">
        <v>0</v>
      </c>
      <c r="AO65" s="113">
        <v>0</v>
      </c>
      <c r="AP65" s="113">
        <v>0</v>
      </c>
      <c r="AQ65" s="113">
        <v>0</v>
      </c>
      <c r="AR65" s="113">
        <v>0</v>
      </c>
      <c r="AS65" s="113">
        <v>0</v>
      </c>
      <c r="AT65" s="113">
        <v>0</v>
      </c>
      <c r="AU65" s="113">
        <v>0</v>
      </c>
      <c r="AV65" s="113">
        <v>0</v>
      </c>
      <c r="AW65" s="113">
        <v>0</v>
      </c>
      <c r="AX65" s="113">
        <v>0</v>
      </c>
      <c r="AY65" s="113">
        <v>0</v>
      </c>
      <c r="AZ65" s="113">
        <v>0</v>
      </c>
      <c r="BA65" s="113">
        <v>0</v>
      </c>
      <c r="BB65" s="113">
        <v>0</v>
      </c>
      <c r="BC65" s="113">
        <v>0</v>
      </c>
      <c r="BD65" s="113">
        <v>0</v>
      </c>
      <c r="BE65" s="113">
        <v>0</v>
      </c>
      <c r="BF65" s="113">
        <v>0</v>
      </c>
      <c r="BG65" s="113">
        <v>0</v>
      </c>
      <c r="BH65" s="113">
        <v>0</v>
      </c>
      <c r="BI65" s="113">
        <v>0</v>
      </c>
      <c r="BJ65" s="113">
        <v>0</v>
      </c>
      <c r="BK65" s="113">
        <v>0</v>
      </c>
      <c r="BL65" s="113">
        <v>0</v>
      </c>
      <c r="BM65" s="113">
        <v>0</v>
      </c>
      <c r="BN65" s="113">
        <v>0</v>
      </c>
    </row>
    <row r="66" spans="1:66" s="24" customFormat="1" x14ac:dyDescent="0.25">
      <c r="A66" s="98" t="s">
        <v>191</v>
      </c>
      <c r="B66" s="98" t="s">
        <v>192</v>
      </c>
      <c r="C66" s="99" t="s">
        <v>37</v>
      </c>
      <c r="D66" s="98" t="s">
        <v>181</v>
      </c>
      <c r="E66" s="100" t="s">
        <v>193</v>
      </c>
      <c r="F66" s="99" t="s">
        <v>110</v>
      </c>
      <c r="G66" s="101">
        <v>46188</v>
      </c>
      <c r="H66" s="102">
        <v>12000</v>
      </c>
      <c r="I66" s="102">
        <v>12000</v>
      </c>
      <c r="J66" s="103">
        <f>H66*2</f>
        <v>24000</v>
      </c>
      <c r="K66" s="103">
        <f t="shared" si="31"/>
        <v>4950</v>
      </c>
      <c r="L66" s="104">
        <v>4950</v>
      </c>
      <c r="M66" s="103">
        <v>0</v>
      </c>
      <c r="N66" s="103">
        <v>0</v>
      </c>
      <c r="O66" s="103">
        <f t="shared" si="5"/>
        <v>-19050</v>
      </c>
      <c r="P66" s="105">
        <f t="shared" si="32"/>
        <v>41.25</v>
      </c>
      <c r="Q66" s="106">
        <v>8</v>
      </c>
      <c r="R66" s="106">
        <v>0</v>
      </c>
      <c r="S66" s="106">
        <v>0</v>
      </c>
      <c r="T66" s="102">
        <f t="shared" si="6"/>
        <v>8</v>
      </c>
      <c r="U66" s="107">
        <f t="shared" si="33"/>
        <v>3096.7741935483873</v>
      </c>
      <c r="V66" s="107">
        <v>0</v>
      </c>
      <c r="W66" s="107">
        <v>0</v>
      </c>
      <c r="X66" s="108">
        <f t="shared" si="34"/>
        <v>3096.7741935483873</v>
      </c>
      <c r="Y66" s="107">
        <v>0</v>
      </c>
      <c r="Z66" s="107">
        <v>0</v>
      </c>
      <c r="AA66" s="108">
        <v>0</v>
      </c>
      <c r="AB66" s="108">
        <f t="shared" si="7"/>
        <v>3096.7741935483873</v>
      </c>
      <c r="AC66" s="109">
        <v>0</v>
      </c>
      <c r="AD66" s="109">
        <v>0</v>
      </c>
      <c r="AE66" s="110">
        <v>0</v>
      </c>
      <c r="AF66" s="111">
        <v>0</v>
      </c>
      <c r="AG66" s="110"/>
      <c r="AH66" s="111"/>
      <c r="AI66" s="110">
        <v>0</v>
      </c>
      <c r="AJ66" s="112"/>
      <c r="AK66" s="113"/>
      <c r="AL66" s="113"/>
      <c r="AM66" s="113"/>
      <c r="AN66" s="113"/>
      <c r="AO66" s="113"/>
      <c r="AP66" s="113"/>
      <c r="AQ66" s="113">
        <v>500</v>
      </c>
      <c r="AR66" s="113">
        <v>450</v>
      </c>
      <c r="AS66" s="113">
        <v>250</v>
      </c>
      <c r="AT66" s="113">
        <v>1250</v>
      </c>
      <c r="AU66" s="113"/>
      <c r="AV66" s="113">
        <v>1250</v>
      </c>
      <c r="AW66" s="113">
        <v>1250</v>
      </c>
      <c r="AX66" s="113"/>
      <c r="AY66" s="113"/>
      <c r="AZ66" s="113"/>
      <c r="BA66" s="113"/>
      <c r="BB66" s="113"/>
      <c r="BC66" s="113"/>
      <c r="BD66" s="113">
        <v>0</v>
      </c>
      <c r="BE66" s="113">
        <v>0</v>
      </c>
      <c r="BF66" s="113">
        <v>0</v>
      </c>
      <c r="BG66" s="113">
        <v>0</v>
      </c>
      <c r="BH66" s="113">
        <v>0</v>
      </c>
      <c r="BI66" s="113">
        <v>0</v>
      </c>
      <c r="BJ66" s="113">
        <v>0</v>
      </c>
      <c r="BK66" s="113">
        <v>0</v>
      </c>
      <c r="BL66" s="113">
        <v>0</v>
      </c>
      <c r="BM66" s="113">
        <v>0</v>
      </c>
      <c r="BN66" s="113">
        <v>0</v>
      </c>
    </row>
    <row r="67" spans="1:66" s="24" customFormat="1" x14ac:dyDescent="0.25">
      <c r="A67" s="98" t="s">
        <v>194</v>
      </c>
      <c r="B67" s="98" t="s">
        <v>195</v>
      </c>
      <c r="C67" s="99" t="s">
        <v>37</v>
      </c>
      <c r="D67" s="98" t="s">
        <v>90</v>
      </c>
      <c r="E67" s="100">
        <v>60273248400</v>
      </c>
      <c r="F67" s="99" t="s">
        <v>91</v>
      </c>
      <c r="G67" s="101">
        <v>45691</v>
      </c>
      <c r="H67" s="102">
        <v>8000</v>
      </c>
      <c r="I67" s="102">
        <v>10000</v>
      </c>
      <c r="J67" s="103">
        <f>H67*2</f>
        <v>16000</v>
      </c>
      <c r="K67" s="103">
        <f t="shared" si="31"/>
        <v>2750</v>
      </c>
      <c r="L67" s="104">
        <v>2750</v>
      </c>
      <c r="M67" s="103">
        <v>0</v>
      </c>
      <c r="N67" s="103">
        <v>0</v>
      </c>
      <c r="O67" s="103">
        <f t="shared" si="5"/>
        <v>-13250</v>
      </c>
      <c r="P67" s="105">
        <f t="shared" si="32"/>
        <v>27.5</v>
      </c>
      <c r="Q67" s="106">
        <v>10</v>
      </c>
      <c r="R67" s="106">
        <v>0</v>
      </c>
      <c r="S67" s="106">
        <v>0</v>
      </c>
      <c r="T67" s="102">
        <f t="shared" si="6"/>
        <v>10</v>
      </c>
      <c r="U67" s="107">
        <f t="shared" si="33"/>
        <v>2580.6451612903224</v>
      </c>
      <c r="V67" s="107">
        <v>0</v>
      </c>
      <c r="W67" s="107">
        <v>0</v>
      </c>
      <c r="X67" s="108">
        <f t="shared" si="34"/>
        <v>2580.6451612903224</v>
      </c>
      <c r="Y67" s="107">
        <v>0</v>
      </c>
      <c r="Z67" s="107">
        <v>0</v>
      </c>
      <c r="AA67" s="108">
        <v>0</v>
      </c>
      <c r="AB67" s="108">
        <f t="shared" si="7"/>
        <v>2580.6451612903224</v>
      </c>
      <c r="AC67" s="109">
        <v>0</v>
      </c>
      <c r="AD67" s="109">
        <v>0</v>
      </c>
      <c r="AE67" s="110">
        <v>0</v>
      </c>
      <c r="AF67" s="111">
        <v>0</v>
      </c>
      <c r="AG67" s="110"/>
      <c r="AH67" s="111"/>
      <c r="AI67" s="110">
        <v>0</v>
      </c>
      <c r="AJ67" s="112"/>
      <c r="AK67" s="113"/>
      <c r="AL67" s="113"/>
      <c r="AM67" s="113">
        <v>1250</v>
      </c>
      <c r="AN67" s="113"/>
      <c r="AO67" s="113"/>
      <c r="AP67" s="113"/>
      <c r="AQ67" s="113"/>
      <c r="AR67" s="113"/>
      <c r="AS67" s="113">
        <v>1500</v>
      </c>
      <c r="AT67" s="113"/>
      <c r="AU67" s="113"/>
      <c r="AV67" s="113"/>
      <c r="AW67" s="113"/>
      <c r="AX67" s="113"/>
      <c r="AY67" s="113"/>
      <c r="AZ67" s="113"/>
      <c r="BA67" s="113"/>
      <c r="BB67" s="113"/>
      <c r="BC67" s="113"/>
      <c r="BD67" s="113">
        <v>0</v>
      </c>
      <c r="BE67" s="113">
        <v>0</v>
      </c>
      <c r="BF67" s="113">
        <v>0</v>
      </c>
      <c r="BG67" s="113">
        <v>0</v>
      </c>
      <c r="BH67" s="113">
        <v>0</v>
      </c>
      <c r="BI67" s="113">
        <v>0</v>
      </c>
      <c r="BJ67" s="113">
        <v>0</v>
      </c>
      <c r="BK67" s="113">
        <v>0</v>
      </c>
      <c r="BL67" s="113">
        <v>0</v>
      </c>
      <c r="BM67" s="113">
        <v>0</v>
      </c>
      <c r="BN67" s="113">
        <v>0</v>
      </c>
    </row>
    <row r="68" spans="1:66" s="24" customFormat="1" x14ac:dyDescent="0.25">
      <c r="A68" s="98" t="s">
        <v>196</v>
      </c>
      <c r="B68" s="98" t="s">
        <v>180</v>
      </c>
      <c r="C68" s="99">
        <v>0</v>
      </c>
      <c r="D68" s="98">
        <v>0</v>
      </c>
      <c r="E68" s="100">
        <v>0</v>
      </c>
      <c r="F68" s="99" t="s">
        <v>95</v>
      </c>
      <c r="G68" s="101">
        <v>46188</v>
      </c>
      <c r="H68" s="102">
        <v>10000</v>
      </c>
      <c r="I68" s="102">
        <v>10000</v>
      </c>
      <c r="J68" s="103">
        <v>10000</v>
      </c>
      <c r="K68" s="103">
        <f t="shared" si="31"/>
        <v>7500</v>
      </c>
      <c r="L68" s="104">
        <v>7500</v>
      </c>
      <c r="M68" s="103">
        <v>0</v>
      </c>
      <c r="N68" s="103">
        <v>0</v>
      </c>
      <c r="O68" s="103">
        <f t="shared" ref="O68:O92" si="35">K68-J68</f>
        <v>-2500</v>
      </c>
      <c r="P68" s="105">
        <f t="shared" si="32"/>
        <v>75</v>
      </c>
      <c r="Q68" s="106">
        <v>15</v>
      </c>
      <c r="R68" s="106">
        <v>0</v>
      </c>
      <c r="S68" s="106">
        <v>0</v>
      </c>
      <c r="T68" s="102">
        <f t="shared" si="6"/>
        <v>15</v>
      </c>
      <c r="U68" s="107">
        <f t="shared" si="33"/>
        <v>4838.7096774193551</v>
      </c>
      <c r="V68" s="107">
        <v>0</v>
      </c>
      <c r="W68" s="107">
        <v>0</v>
      </c>
      <c r="X68" s="108">
        <v>0</v>
      </c>
      <c r="Y68" s="107">
        <v>0</v>
      </c>
      <c r="Z68" s="107">
        <v>0</v>
      </c>
      <c r="AA68" s="108">
        <v>0</v>
      </c>
      <c r="AB68" s="108">
        <f t="shared" ref="AB68:AB92" si="36">X68+Y68+Z68-AA68</f>
        <v>0</v>
      </c>
      <c r="AC68" s="109">
        <v>0</v>
      </c>
      <c r="AD68" s="109">
        <v>0</v>
      </c>
      <c r="AE68" s="110">
        <v>0</v>
      </c>
      <c r="AF68" s="111">
        <v>0</v>
      </c>
      <c r="AG68" s="110"/>
      <c r="AH68" s="111"/>
      <c r="AI68" s="110">
        <v>0</v>
      </c>
      <c r="AJ68" s="112"/>
      <c r="AK68" s="113"/>
      <c r="AL68" s="113"/>
      <c r="AM68" s="113"/>
      <c r="AN68" s="113"/>
      <c r="AO68" s="113"/>
      <c r="AP68" s="113"/>
      <c r="AQ68" s="113">
        <v>1000</v>
      </c>
      <c r="AR68" s="113">
        <v>4250</v>
      </c>
      <c r="AS68" s="113"/>
      <c r="AT68" s="113"/>
      <c r="AU68" s="113"/>
      <c r="AV68" s="113"/>
      <c r="AW68" s="113"/>
      <c r="AX68" s="113">
        <v>1750</v>
      </c>
      <c r="AY68" s="113">
        <v>500</v>
      </c>
      <c r="AZ68" s="113"/>
      <c r="BA68" s="113"/>
      <c r="BB68" s="113"/>
      <c r="BC68" s="113"/>
      <c r="BD68" s="113">
        <v>0</v>
      </c>
      <c r="BE68" s="113">
        <v>0</v>
      </c>
      <c r="BF68" s="113">
        <v>0</v>
      </c>
      <c r="BG68" s="113">
        <v>0</v>
      </c>
      <c r="BH68" s="113">
        <v>0</v>
      </c>
      <c r="BI68" s="113">
        <v>0</v>
      </c>
      <c r="BJ68" s="113">
        <v>0</v>
      </c>
      <c r="BK68" s="113">
        <v>0</v>
      </c>
      <c r="BL68" s="113">
        <v>0</v>
      </c>
      <c r="BM68" s="113">
        <v>0</v>
      </c>
      <c r="BN68" s="113">
        <v>0</v>
      </c>
    </row>
    <row r="69" spans="1:66" s="24" customFormat="1" x14ac:dyDescent="0.25">
      <c r="A69" s="98" t="s">
        <v>197</v>
      </c>
      <c r="B69" s="98" t="s">
        <v>198</v>
      </c>
      <c r="C69" s="99" t="s">
        <v>37</v>
      </c>
      <c r="D69" s="98" t="s">
        <v>199</v>
      </c>
      <c r="E69" s="100">
        <v>50100172601168</v>
      </c>
      <c r="F69" s="99" t="s">
        <v>133</v>
      </c>
      <c r="G69" s="101">
        <v>46038</v>
      </c>
      <c r="H69" s="102">
        <v>12000</v>
      </c>
      <c r="I69" s="102">
        <f>H69*3</f>
        <v>36000</v>
      </c>
      <c r="J69" s="103">
        <v>40000</v>
      </c>
      <c r="K69" s="103">
        <f t="shared" si="31"/>
        <v>4254</v>
      </c>
      <c r="L69" s="104">
        <v>500</v>
      </c>
      <c r="M69" s="103">
        <v>3754</v>
      </c>
      <c r="N69" s="103">
        <v>0</v>
      </c>
      <c r="O69" s="103">
        <f t="shared" si="35"/>
        <v>-35746</v>
      </c>
      <c r="P69" s="105">
        <f t="shared" si="32"/>
        <v>11.816666666666666</v>
      </c>
      <c r="Q69" s="106">
        <v>14</v>
      </c>
      <c r="R69" s="106">
        <v>0</v>
      </c>
      <c r="S69" s="106">
        <v>0</v>
      </c>
      <c r="T69" s="102">
        <f t="shared" si="6"/>
        <v>14</v>
      </c>
      <c r="U69" s="107">
        <f t="shared" si="33"/>
        <v>5419.3548387096771</v>
      </c>
      <c r="V69" s="107">
        <v>0</v>
      </c>
      <c r="W69" s="107">
        <v>0</v>
      </c>
      <c r="X69" s="108">
        <f>SUM(U69:W69)</f>
        <v>5419.3548387096771</v>
      </c>
      <c r="Y69" s="107">
        <v>0</v>
      </c>
      <c r="Z69" s="107">
        <v>0</v>
      </c>
      <c r="AA69" s="108">
        <v>0</v>
      </c>
      <c r="AB69" s="108">
        <f t="shared" si="36"/>
        <v>5419.3548387096771</v>
      </c>
      <c r="AC69" s="109">
        <v>0</v>
      </c>
      <c r="AD69" s="109">
        <v>0</v>
      </c>
      <c r="AE69" s="110">
        <v>0</v>
      </c>
      <c r="AF69" s="111">
        <v>0</v>
      </c>
      <c r="AG69" s="110"/>
      <c r="AH69" s="111"/>
      <c r="AI69" s="110">
        <v>0</v>
      </c>
      <c r="AJ69" s="112">
        <v>0</v>
      </c>
      <c r="AK69" s="113">
        <v>0</v>
      </c>
      <c r="AL69" s="113">
        <v>300</v>
      </c>
      <c r="AM69" s="113">
        <v>0</v>
      </c>
      <c r="AN69" s="113">
        <v>200</v>
      </c>
      <c r="AO69" s="113">
        <v>951</v>
      </c>
      <c r="AP69" s="113">
        <v>0</v>
      </c>
      <c r="AQ69" s="113">
        <v>200</v>
      </c>
      <c r="AR69" s="113">
        <v>752</v>
      </c>
      <c r="AS69" s="113">
        <v>300</v>
      </c>
      <c r="AT69" s="113">
        <v>501</v>
      </c>
      <c r="AU69" s="113">
        <v>0</v>
      </c>
      <c r="AV69" s="113">
        <v>700</v>
      </c>
      <c r="AW69" s="113">
        <v>50</v>
      </c>
      <c r="AX69" s="113">
        <v>300</v>
      </c>
      <c r="AY69" s="113">
        <v>0</v>
      </c>
      <c r="AZ69" s="113">
        <v>0</v>
      </c>
      <c r="BA69" s="113">
        <v>0</v>
      </c>
      <c r="BB69" s="113">
        <v>0</v>
      </c>
      <c r="BC69" s="113">
        <v>0</v>
      </c>
      <c r="BD69" s="113">
        <v>0</v>
      </c>
      <c r="BE69" s="113">
        <v>0</v>
      </c>
      <c r="BF69" s="113">
        <v>0</v>
      </c>
      <c r="BG69" s="113">
        <v>0</v>
      </c>
      <c r="BH69" s="113">
        <v>0</v>
      </c>
      <c r="BI69" s="113">
        <v>0</v>
      </c>
      <c r="BJ69" s="113">
        <v>0</v>
      </c>
      <c r="BK69" s="113">
        <v>0</v>
      </c>
      <c r="BL69" s="113">
        <v>0</v>
      </c>
      <c r="BM69" s="113">
        <v>0</v>
      </c>
      <c r="BN69" s="113">
        <v>0</v>
      </c>
    </row>
    <row r="70" spans="1:66" s="24" customFormat="1" x14ac:dyDescent="0.25">
      <c r="A70" s="98" t="s">
        <v>200</v>
      </c>
      <c r="B70" s="98" t="s">
        <v>201</v>
      </c>
      <c r="C70" s="99" t="s">
        <v>37</v>
      </c>
      <c r="D70" s="98" t="s">
        <v>202</v>
      </c>
      <c r="E70" s="100">
        <v>100262786121</v>
      </c>
      <c r="F70" s="99" t="s">
        <v>91</v>
      </c>
      <c r="G70" s="101">
        <v>46204</v>
      </c>
      <c r="H70" s="102">
        <v>11000</v>
      </c>
      <c r="I70" s="102">
        <v>11000</v>
      </c>
      <c r="J70" s="103">
        <v>11000</v>
      </c>
      <c r="K70" s="103">
        <f t="shared" si="31"/>
        <v>1200</v>
      </c>
      <c r="L70" s="104">
        <v>0</v>
      </c>
      <c r="M70" s="103">
        <v>0</v>
      </c>
      <c r="N70" s="103">
        <v>1200</v>
      </c>
      <c r="O70" s="103">
        <f t="shared" si="35"/>
        <v>-9800</v>
      </c>
      <c r="P70" s="105">
        <f t="shared" si="32"/>
        <v>10.909090909090908</v>
      </c>
      <c r="Q70" s="106">
        <v>28</v>
      </c>
      <c r="R70" s="106">
        <v>0</v>
      </c>
      <c r="S70" s="106">
        <v>0</v>
      </c>
      <c r="T70" s="102">
        <f t="shared" si="6"/>
        <v>28</v>
      </c>
      <c r="U70" s="107">
        <f t="shared" si="33"/>
        <v>9935.4838709677424</v>
      </c>
      <c r="V70" s="107">
        <v>0</v>
      </c>
      <c r="W70" s="107">
        <v>0</v>
      </c>
      <c r="X70" s="108">
        <f>SUM(U70:W70)</f>
        <v>9935.4838709677424</v>
      </c>
      <c r="Y70" s="107">
        <v>0</v>
      </c>
      <c r="Z70" s="107">
        <v>0</v>
      </c>
      <c r="AA70" s="108">
        <v>0</v>
      </c>
      <c r="AB70" s="108">
        <f t="shared" si="36"/>
        <v>9935.4838709677424</v>
      </c>
      <c r="AC70" s="109">
        <v>0</v>
      </c>
      <c r="AD70" s="109">
        <v>0</v>
      </c>
      <c r="AE70" s="110">
        <v>0</v>
      </c>
      <c r="AF70" s="111">
        <v>0</v>
      </c>
      <c r="AG70" s="110"/>
      <c r="AH70" s="111"/>
      <c r="AI70" s="110">
        <v>0</v>
      </c>
      <c r="AJ70" s="112"/>
      <c r="AK70" s="113"/>
      <c r="AL70" s="113"/>
      <c r="AM70" s="113"/>
      <c r="AN70" s="113"/>
      <c r="AO70" s="113"/>
      <c r="AP70" s="113"/>
      <c r="AQ70" s="113"/>
      <c r="AR70" s="113"/>
      <c r="AS70" s="113"/>
      <c r="AT70" s="113">
        <v>200</v>
      </c>
      <c r="AU70" s="113"/>
      <c r="AV70" s="113"/>
      <c r="AW70" s="113"/>
      <c r="AX70" s="113"/>
      <c r="AY70" s="113"/>
      <c r="AZ70" s="113"/>
      <c r="BA70" s="113"/>
      <c r="BB70" s="113"/>
      <c r="BC70" s="113"/>
      <c r="BD70" s="113">
        <v>1000</v>
      </c>
      <c r="BE70" s="113"/>
      <c r="BF70" s="113">
        <v>0</v>
      </c>
      <c r="BG70" s="113">
        <v>0</v>
      </c>
      <c r="BH70" s="113">
        <v>0</v>
      </c>
      <c r="BI70" s="113">
        <v>0</v>
      </c>
      <c r="BJ70" s="113">
        <v>0</v>
      </c>
      <c r="BK70" s="113">
        <v>0</v>
      </c>
      <c r="BL70" s="113">
        <v>0</v>
      </c>
      <c r="BM70" s="113">
        <v>0</v>
      </c>
      <c r="BN70" s="113">
        <v>0</v>
      </c>
    </row>
    <row r="71" spans="1:66" s="24" customFormat="1" x14ac:dyDescent="0.25">
      <c r="A71" s="17" t="s">
        <v>203</v>
      </c>
      <c r="B71" s="17"/>
      <c r="C71" s="18"/>
      <c r="D71" s="17"/>
      <c r="E71" s="19"/>
      <c r="F71" s="18"/>
      <c r="G71" s="20"/>
      <c r="H71" s="21">
        <f t="shared" ref="H71:N71" si="37">SUM(H72:H86)</f>
        <v>203500</v>
      </c>
      <c r="I71" s="21">
        <f t="shared" si="37"/>
        <v>0</v>
      </c>
      <c r="J71" s="21">
        <f t="shared" si="37"/>
        <v>0</v>
      </c>
      <c r="K71" s="21">
        <f t="shared" si="37"/>
        <v>306329</v>
      </c>
      <c r="L71" s="22">
        <f t="shared" si="37"/>
        <v>5411</v>
      </c>
      <c r="M71" s="21">
        <f t="shared" si="37"/>
        <v>243900</v>
      </c>
      <c r="N71" s="21">
        <f t="shared" si="37"/>
        <v>57018</v>
      </c>
      <c r="O71" s="21">
        <f t="shared" si="35"/>
        <v>306329</v>
      </c>
      <c r="P71" s="23" t="e">
        <f>SUM(P72:P86)</f>
        <v>#DIV/0!</v>
      </c>
      <c r="Q71" s="22">
        <f>SUM(Q72:Q86)</f>
        <v>333</v>
      </c>
      <c r="R71" s="22">
        <f>SUM(R72:R86)</f>
        <v>1.5</v>
      </c>
      <c r="S71" s="22">
        <f>SUM(S72:S86)</f>
        <v>0</v>
      </c>
      <c r="T71" s="22">
        <f t="shared" si="6"/>
        <v>331.5</v>
      </c>
      <c r="U71" s="22">
        <f t="shared" ref="U71:BN71" si="38">SUM(U72:U86)</f>
        <v>165508.06451612906</v>
      </c>
      <c r="V71" s="22">
        <f t="shared" si="38"/>
        <v>0</v>
      </c>
      <c r="W71" s="22">
        <f t="shared" si="38"/>
        <v>0</v>
      </c>
      <c r="X71" s="22">
        <f t="shared" si="38"/>
        <v>165508.06451612906</v>
      </c>
      <c r="Y71" s="22">
        <f t="shared" si="38"/>
        <v>0</v>
      </c>
      <c r="Z71" s="22">
        <f t="shared" si="38"/>
        <v>400</v>
      </c>
      <c r="AA71" s="22">
        <f t="shared" si="38"/>
        <v>4970</v>
      </c>
      <c r="AB71" s="22">
        <f t="shared" si="36"/>
        <v>160938.06451612906</v>
      </c>
      <c r="AC71" s="22">
        <f t="shared" si="38"/>
        <v>0</v>
      </c>
      <c r="AD71" s="22">
        <f t="shared" si="38"/>
        <v>0</v>
      </c>
      <c r="AE71" s="22">
        <f t="shared" si="38"/>
        <v>0</v>
      </c>
      <c r="AF71" s="22">
        <f t="shared" si="38"/>
        <v>0</v>
      </c>
      <c r="AG71" s="22">
        <f t="shared" si="38"/>
        <v>0</v>
      </c>
      <c r="AH71" s="22">
        <f t="shared" si="38"/>
        <v>0</v>
      </c>
      <c r="AI71" s="22">
        <f t="shared" si="38"/>
        <v>0</v>
      </c>
      <c r="AJ71" s="22">
        <f t="shared" si="38"/>
        <v>10</v>
      </c>
      <c r="AK71" s="22">
        <f t="shared" si="38"/>
        <v>0</v>
      </c>
      <c r="AL71" s="22">
        <f t="shared" si="38"/>
        <v>57002</v>
      </c>
      <c r="AM71" s="22">
        <f t="shared" si="38"/>
        <v>0</v>
      </c>
      <c r="AN71" s="22">
        <f t="shared" si="38"/>
        <v>0</v>
      </c>
      <c r="AO71" s="22">
        <f t="shared" si="38"/>
        <v>0</v>
      </c>
      <c r="AP71" s="22">
        <f t="shared" si="38"/>
        <v>0</v>
      </c>
      <c r="AQ71" s="22">
        <f t="shared" si="38"/>
        <v>0</v>
      </c>
      <c r="AR71" s="22">
        <f t="shared" si="38"/>
        <v>2</v>
      </c>
      <c r="AS71" s="22">
        <f t="shared" si="38"/>
        <v>1</v>
      </c>
      <c r="AT71" s="22">
        <f t="shared" si="38"/>
        <v>8000</v>
      </c>
      <c r="AU71" s="22">
        <f t="shared" si="38"/>
        <v>0</v>
      </c>
      <c r="AV71" s="22">
        <f t="shared" si="38"/>
        <v>0</v>
      </c>
      <c r="AW71" s="22">
        <f t="shared" si="38"/>
        <v>0</v>
      </c>
      <c r="AX71" s="22">
        <f t="shared" si="38"/>
        <v>135902</v>
      </c>
      <c r="AY71" s="22">
        <f t="shared" si="38"/>
        <v>1</v>
      </c>
      <c r="AZ71" s="22">
        <f t="shared" si="38"/>
        <v>1750</v>
      </c>
      <c r="BA71" s="22">
        <f t="shared" si="38"/>
        <v>100000</v>
      </c>
      <c r="BB71" s="22">
        <f t="shared" si="38"/>
        <v>0</v>
      </c>
      <c r="BC71" s="22">
        <f t="shared" si="38"/>
        <v>0</v>
      </c>
      <c r="BD71" s="22">
        <f t="shared" si="38"/>
        <v>0</v>
      </c>
      <c r="BE71" s="22">
        <f t="shared" si="38"/>
        <v>1</v>
      </c>
      <c r="BF71" s="22">
        <f t="shared" si="38"/>
        <v>0</v>
      </c>
      <c r="BG71" s="22">
        <f t="shared" si="38"/>
        <v>5</v>
      </c>
      <c r="BH71" s="22">
        <f t="shared" si="38"/>
        <v>1650</v>
      </c>
      <c r="BI71" s="21">
        <f t="shared" si="38"/>
        <v>0</v>
      </c>
      <c r="BJ71" s="21">
        <f t="shared" si="38"/>
        <v>4</v>
      </c>
      <c r="BK71" s="21">
        <f t="shared" si="38"/>
        <v>100</v>
      </c>
      <c r="BL71" s="21">
        <f t="shared" si="38"/>
        <v>600</v>
      </c>
      <c r="BM71" s="21">
        <f t="shared" si="38"/>
        <v>100</v>
      </c>
      <c r="BN71" s="21">
        <f t="shared" si="38"/>
        <v>1201</v>
      </c>
    </row>
    <row r="72" spans="1:66" x14ac:dyDescent="0.25">
      <c r="A72" s="25" t="s">
        <v>204</v>
      </c>
      <c r="B72" s="25" t="s">
        <v>205</v>
      </c>
      <c r="C72" s="26" t="s">
        <v>95</v>
      </c>
      <c r="D72" s="25" t="s">
        <v>205</v>
      </c>
      <c r="E72" s="25" t="s">
        <v>205</v>
      </c>
      <c r="F72" s="26" t="s">
        <v>95</v>
      </c>
      <c r="G72" s="28" t="s">
        <v>205</v>
      </c>
      <c r="H72" s="29">
        <v>0</v>
      </c>
      <c r="I72" s="30">
        <v>0</v>
      </c>
      <c r="J72" s="30">
        <v>0</v>
      </c>
      <c r="K72" s="30">
        <f t="shared" ref="K72:K86" si="39">SUM(AJ72:BN72)</f>
        <v>306329</v>
      </c>
      <c r="L72" s="31">
        <v>5411</v>
      </c>
      <c r="M72" s="30">
        <v>243900</v>
      </c>
      <c r="N72" s="30">
        <v>57018</v>
      </c>
      <c r="O72" s="30">
        <f t="shared" si="35"/>
        <v>306329</v>
      </c>
      <c r="P72" s="32" t="e">
        <f t="shared" ref="P72:P86" si="40">K72*100/I72</f>
        <v>#DIV/0!</v>
      </c>
      <c r="Q72" s="33">
        <v>0</v>
      </c>
      <c r="R72" s="33">
        <v>0</v>
      </c>
      <c r="S72" s="33">
        <v>0</v>
      </c>
      <c r="T72" s="29">
        <f t="shared" si="6"/>
        <v>0</v>
      </c>
      <c r="U72" s="34">
        <f t="shared" ref="U72:U86" si="41">H72*T72/31</f>
        <v>0</v>
      </c>
      <c r="V72" s="34">
        <v>0</v>
      </c>
      <c r="W72" s="34">
        <v>0</v>
      </c>
      <c r="X72" s="35">
        <f t="shared" ref="X72:X86" si="42">SUM(U72:W72)</f>
        <v>0</v>
      </c>
      <c r="Y72" s="34">
        <v>0</v>
      </c>
      <c r="Z72" s="34">
        <v>0</v>
      </c>
      <c r="AA72" s="35">
        <v>0</v>
      </c>
      <c r="AB72" s="35">
        <f t="shared" si="36"/>
        <v>0</v>
      </c>
      <c r="AC72" s="36">
        <v>0</v>
      </c>
      <c r="AD72" s="36">
        <v>0</v>
      </c>
      <c r="AE72" s="37">
        <v>0</v>
      </c>
      <c r="AF72" s="38">
        <v>0</v>
      </c>
      <c r="AG72" s="37"/>
      <c r="AH72" s="38"/>
      <c r="AI72" s="37">
        <v>0</v>
      </c>
      <c r="AJ72" s="39">
        <v>10</v>
      </c>
      <c r="AK72" s="40">
        <v>0</v>
      </c>
      <c r="AL72" s="40">
        <v>57002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2</v>
      </c>
      <c r="AS72" s="40">
        <v>1</v>
      </c>
      <c r="AT72" s="40">
        <v>8000</v>
      </c>
      <c r="AU72" s="40">
        <v>0</v>
      </c>
      <c r="AV72" s="40">
        <v>0</v>
      </c>
      <c r="AW72" s="40">
        <v>0</v>
      </c>
      <c r="AX72" s="40">
        <v>135902</v>
      </c>
      <c r="AY72" s="40">
        <v>1</v>
      </c>
      <c r="AZ72" s="40">
        <v>1750</v>
      </c>
      <c r="BA72" s="40">
        <v>100000</v>
      </c>
      <c r="BB72" s="40">
        <v>0</v>
      </c>
      <c r="BC72" s="40">
        <v>0</v>
      </c>
      <c r="BD72" s="40">
        <v>0</v>
      </c>
      <c r="BE72" s="40">
        <v>1</v>
      </c>
      <c r="BF72" s="40">
        <v>0</v>
      </c>
      <c r="BG72" s="40">
        <v>5</v>
      </c>
      <c r="BH72" s="40">
        <v>1650</v>
      </c>
      <c r="BI72" s="40">
        <v>0</v>
      </c>
      <c r="BJ72" s="40">
        <v>4</v>
      </c>
      <c r="BK72" s="40">
        <v>100</v>
      </c>
      <c r="BL72" s="40">
        <v>600</v>
      </c>
      <c r="BM72" s="40">
        <v>100</v>
      </c>
      <c r="BN72" s="40">
        <v>1201</v>
      </c>
    </row>
    <row r="73" spans="1:66" x14ac:dyDescent="0.25">
      <c r="A73" s="25" t="s">
        <v>206</v>
      </c>
      <c r="B73" s="25" t="s">
        <v>205</v>
      </c>
      <c r="C73" s="26" t="s">
        <v>95</v>
      </c>
      <c r="D73" s="25" t="s">
        <v>205</v>
      </c>
      <c r="E73" s="25" t="s">
        <v>205</v>
      </c>
      <c r="F73" s="26" t="s">
        <v>95</v>
      </c>
      <c r="G73" s="28" t="s">
        <v>205</v>
      </c>
      <c r="H73" s="29">
        <v>0</v>
      </c>
      <c r="I73" s="30">
        <v>0</v>
      </c>
      <c r="J73" s="30">
        <v>0</v>
      </c>
      <c r="K73" s="30">
        <f t="shared" si="39"/>
        <v>0</v>
      </c>
      <c r="L73" s="31">
        <v>0</v>
      </c>
      <c r="M73" s="30">
        <v>0</v>
      </c>
      <c r="N73" s="30">
        <v>0</v>
      </c>
      <c r="O73" s="30">
        <f t="shared" si="35"/>
        <v>0</v>
      </c>
      <c r="P73" s="32" t="e">
        <f t="shared" si="40"/>
        <v>#DIV/0!</v>
      </c>
      <c r="Q73" s="33">
        <v>0</v>
      </c>
      <c r="R73" s="33">
        <v>0</v>
      </c>
      <c r="S73" s="33">
        <v>0</v>
      </c>
      <c r="T73" s="29">
        <f t="shared" ref="T73:T92" si="43">Q73-R73+S73</f>
        <v>0</v>
      </c>
      <c r="U73" s="34">
        <f t="shared" si="41"/>
        <v>0</v>
      </c>
      <c r="V73" s="34">
        <f t="shared" si="8"/>
        <v>0</v>
      </c>
      <c r="W73" s="34">
        <v>0</v>
      </c>
      <c r="X73" s="35">
        <f t="shared" si="42"/>
        <v>0</v>
      </c>
      <c r="Y73" s="34">
        <v>0</v>
      </c>
      <c r="Z73" s="34">
        <v>0</v>
      </c>
      <c r="AA73" s="35">
        <v>0</v>
      </c>
      <c r="AB73" s="35">
        <f t="shared" si="36"/>
        <v>0</v>
      </c>
      <c r="AC73" s="36">
        <v>0</v>
      </c>
      <c r="AD73" s="36">
        <v>0</v>
      </c>
      <c r="AE73" s="37">
        <v>0</v>
      </c>
      <c r="AF73" s="38">
        <v>0</v>
      </c>
      <c r="AG73" s="37"/>
      <c r="AH73" s="38"/>
      <c r="AI73" s="37">
        <v>0</v>
      </c>
      <c r="AJ73" s="39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0</v>
      </c>
      <c r="AP73" s="40">
        <v>0</v>
      </c>
      <c r="AQ73" s="40">
        <v>0</v>
      </c>
      <c r="AR73" s="40">
        <v>0</v>
      </c>
      <c r="AS73" s="40">
        <v>0</v>
      </c>
      <c r="AT73" s="40">
        <v>0</v>
      </c>
      <c r="AU73" s="40">
        <v>0</v>
      </c>
      <c r="AV73" s="40">
        <v>0</v>
      </c>
      <c r="AW73" s="40">
        <v>0</v>
      </c>
      <c r="AX73" s="40">
        <v>0</v>
      </c>
      <c r="AY73" s="40">
        <v>0</v>
      </c>
      <c r="AZ73" s="40">
        <v>0</v>
      </c>
      <c r="BA73" s="40">
        <v>0</v>
      </c>
      <c r="BB73" s="40">
        <v>0</v>
      </c>
      <c r="BC73" s="40">
        <v>0</v>
      </c>
      <c r="BD73" s="40">
        <v>0</v>
      </c>
      <c r="BE73" s="40">
        <v>0</v>
      </c>
      <c r="BF73" s="40">
        <v>0</v>
      </c>
      <c r="BG73" s="40">
        <v>0</v>
      </c>
      <c r="BH73" s="40">
        <v>0</v>
      </c>
      <c r="BI73" s="40">
        <v>0</v>
      </c>
      <c r="BJ73" s="40">
        <v>0</v>
      </c>
      <c r="BK73" s="40">
        <v>0</v>
      </c>
      <c r="BL73" s="40">
        <v>0</v>
      </c>
      <c r="BM73" s="40">
        <v>0</v>
      </c>
      <c r="BN73" s="40">
        <v>0</v>
      </c>
    </row>
    <row r="74" spans="1:66" x14ac:dyDescent="0.25">
      <c r="A74" s="25" t="s">
        <v>207</v>
      </c>
      <c r="B74" s="25" t="s">
        <v>208</v>
      </c>
      <c r="C74" s="26" t="s">
        <v>37</v>
      </c>
      <c r="D74" s="25" t="s">
        <v>209</v>
      </c>
      <c r="E74" s="27">
        <v>60082841190</v>
      </c>
      <c r="F74" s="26" t="s">
        <v>95</v>
      </c>
      <c r="G74" s="28">
        <v>44369</v>
      </c>
      <c r="H74" s="29">
        <v>18500</v>
      </c>
      <c r="I74" s="30">
        <v>0</v>
      </c>
      <c r="J74" s="30">
        <v>0</v>
      </c>
      <c r="K74" s="30">
        <f t="shared" si="39"/>
        <v>0</v>
      </c>
      <c r="L74" s="31">
        <v>0</v>
      </c>
      <c r="M74" s="30">
        <v>0</v>
      </c>
      <c r="N74" s="30">
        <v>0</v>
      </c>
      <c r="O74" s="30">
        <f t="shared" si="35"/>
        <v>0</v>
      </c>
      <c r="P74" s="32" t="e">
        <f t="shared" si="40"/>
        <v>#DIV/0!</v>
      </c>
      <c r="Q74" s="33">
        <v>30.5</v>
      </c>
      <c r="R74" s="33">
        <v>0</v>
      </c>
      <c r="S74" s="33">
        <v>0</v>
      </c>
      <c r="T74" s="29">
        <f t="shared" si="43"/>
        <v>30.5</v>
      </c>
      <c r="U74" s="34">
        <f t="shared" si="41"/>
        <v>18201.612903225807</v>
      </c>
      <c r="V74" s="34">
        <f t="shared" ref="V74:V88" si="44">O74*10%</f>
        <v>0</v>
      </c>
      <c r="W74" s="34">
        <v>0</v>
      </c>
      <c r="X74" s="35">
        <f t="shared" si="42"/>
        <v>18201.612903225807</v>
      </c>
      <c r="Y74" s="34">
        <v>0</v>
      </c>
      <c r="Z74" s="34">
        <v>0</v>
      </c>
      <c r="AA74" s="35">
        <v>0</v>
      </c>
      <c r="AB74" s="35">
        <f t="shared" si="36"/>
        <v>18201.612903225807</v>
      </c>
      <c r="AC74" s="36">
        <v>0</v>
      </c>
      <c r="AD74" s="36">
        <v>0</v>
      </c>
      <c r="AE74" s="37">
        <v>0</v>
      </c>
      <c r="AF74" s="38">
        <v>0</v>
      </c>
      <c r="AG74" s="37"/>
      <c r="AH74" s="38"/>
      <c r="AI74" s="37">
        <v>0</v>
      </c>
      <c r="AJ74" s="39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</row>
    <row r="75" spans="1:66" x14ac:dyDescent="0.25">
      <c r="A75" s="25" t="s">
        <v>210</v>
      </c>
      <c r="B75" s="25" t="s">
        <v>211</v>
      </c>
      <c r="C75" s="26" t="s">
        <v>37</v>
      </c>
      <c r="D75" s="25" t="s">
        <v>90</v>
      </c>
      <c r="E75" s="27">
        <v>60256908592</v>
      </c>
      <c r="F75" s="26" t="s">
        <v>95</v>
      </c>
      <c r="G75" s="28">
        <v>45398</v>
      </c>
      <c r="H75" s="29">
        <v>12000</v>
      </c>
      <c r="I75" s="30">
        <v>0</v>
      </c>
      <c r="J75" s="30">
        <v>0</v>
      </c>
      <c r="K75" s="30">
        <f t="shared" si="39"/>
        <v>0</v>
      </c>
      <c r="L75" s="31">
        <v>0</v>
      </c>
      <c r="M75" s="30">
        <v>0</v>
      </c>
      <c r="N75" s="30">
        <v>0</v>
      </c>
      <c r="O75" s="30">
        <f t="shared" si="35"/>
        <v>0</v>
      </c>
      <c r="P75" s="32" t="e">
        <f t="shared" si="40"/>
        <v>#DIV/0!</v>
      </c>
      <c r="Q75" s="33">
        <v>31</v>
      </c>
      <c r="R75" s="33">
        <v>0</v>
      </c>
      <c r="S75" s="33">
        <v>0</v>
      </c>
      <c r="T75" s="29">
        <f t="shared" si="43"/>
        <v>31</v>
      </c>
      <c r="U75" s="34">
        <f t="shared" si="41"/>
        <v>12000</v>
      </c>
      <c r="V75" s="34">
        <f t="shared" si="44"/>
        <v>0</v>
      </c>
      <c r="W75" s="34">
        <v>0</v>
      </c>
      <c r="X75" s="35">
        <f t="shared" si="42"/>
        <v>12000</v>
      </c>
      <c r="Y75" s="34">
        <v>0</v>
      </c>
      <c r="Z75" s="34">
        <v>0</v>
      </c>
      <c r="AA75" s="35">
        <v>0</v>
      </c>
      <c r="AB75" s="35">
        <f t="shared" si="36"/>
        <v>12000</v>
      </c>
      <c r="AC75" s="36">
        <v>0</v>
      </c>
      <c r="AD75" s="36">
        <v>0</v>
      </c>
      <c r="AE75" s="37">
        <v>0</v>
      </c>
      <c r="AF75" s="38">
        <v>0</v>
      </c>
      <c r="AG75" s="37"/>
      <c r="AH75" s="38"/>
      <c r="AI75" s="37">
        <v>0</v>
      </c>
      <c r="AJ75" s="39">
        <v>0</v>
      </c>
      <c r="AK75" s="40">
        <v>0</v>
      </c>
      <c r="AL75" s="40">
        <v>0</v>
      </c>
      <c r="AM75" s="40">
        <v>0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</v>
      </c>
      <c r="BD75" s="40">
        <v>0</v>
      </c>
      <c r="BE75" s="40">
        <v>0</v>
      </c>
      <c r="BF75" s="40">
        <v>0</v>
      </c>
      <c r="BG75" s="40">
        <v>0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</row>
    <row r="76" spans="1:66" x14ac:dyDescent="0.25">
      <c r="A76" s="114" t="s">
        <v>212</v>
      </c>
      <c r="B76" s="114" t="s">
        <v>213</v>
      </c>
      <c r="C76" s="115" t="s">
        <v>37</v>
      </c>
      <c r="D76" s="114" t="s">
        <v>86</v>
      </c>
      <c r="E76" s="27">
        <v>6745840277</v>
      </c>
      <c r="F76" s="26" t="s">
        <v>95</v>
      </c>
      <c r="G76" s="28">
        <v>45085</v>
      </c>
      <c r="H76" s="29">
        <v>22000</v>
      </c>
      <c r="I76" s="30">
        <v>0</v>
      </c>
      <c r="J76" s="30">
        <v>0</v>
      </c>
      <c r="K76" s="30">
        <f t="shared" si="39"/>
        <v>0</v>
      </c>
      <c r="L76" s="31">
        <v>0</v>
      </c>
      <c r="M76" s="30">
        <v>0</v>
      </c>
      <c r="N76" s="30">
        <v>0</v>
      </c>
      <c r="O76" s="30">
        <f t="shared" si="35"/>
        <v>0</v>
      </c>
      <c r="P76" s="32" t="e">
        <f t="shared" si="40"/>
        <v>#DIV/0!</v>
      </c>
      <c r="Q76" s="33">
        <v>14</v>
      </c>
      <c r="R76" s="33">
        <v>0</v>
      </c>
      <c r="S76" s="33">
        <v>0</v>
      </c>
      <c r="T76" s="29">
        <f t="shared" si="43"/>
        <v>14</v>
      </c>
      <c r="U76" s="34">
        <f t="shared" si="41"/>
        <v>9935.4838709677424</v>
      </c>
      <c r="V76" s="34">
        <f t="shared" si="44"/>
        <v>0</v>
      </c>
      <c r="W76" s="34">
        <v>0</v>
      </c>
      <c r="X76" s="35">
        <f t="shared" si="42"/>
        <v>9935.4838709677424</v>
      </c>
      <c r="Y76" s="34">
        <v>0</v>
      </c>
      <c r="Z76" s="34">
        <v>0</v>
      </c>
      <c r="AA76" s="35">
        <v>1470</v>
      </c>
      <c r="AB76" s="35">
        <f t="shared" si="36"/>
        <v>8465.4838709677424</v>
      </c>
      <c r="AC76" s="36">
        <v>0</v>
      </c>
      <c r="AD76" s="36">
        <v>0</v>
      </c>
      <c r="AE76" s="37">
        <v>0</v>
      </c>
      <c r="AF76" s="38">
        <v>0</v>
      </c>
      <c r="AG76" s="37"/>
      <c r="AH76" s="38"/>
      <c r="AI76" s="37">
        <v>0</v>
      </c>
      <c r="AJ76" s="39">
        <v>0</v>
      </c>
      <c r="AK76" s="40">
        <v>0</v>
      </c>
      <c r="AL76" s="40">
        <v>0</v>
      </c>
      <c r="AM76" s="40">
        <v>0</v>
      </c>
      <c r="AN76" s="40">
        <v>0</v>
      </c>
      <c r="AO76" s="40">
        <v>0</v>
      </c>
      <c r="AP76" s="40">
        <v>0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0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</row>
    <row r="77" spans="1:66" x14ac:dyDescent="0.25">
      <c r="A77" s="114" t="s">
        <v>214</v>
      </c>
      <c r="B77" s="114" t="s">
        <v>215</v>
      </c>
      <c r="C77" s="115" t="s">
        <v>37</v>
      </c>
      <c r="D77" s="114" t="s">
        <v>127</v>
      </c>
      <c r="E77" s="27">
        <v>41152731544</v>
      </c>
      <c r="F77" s="26" t="s">
        <v>95</v>
      </c>
      <c r="G77" s="28">
        <v>46114</v>
      </c>
      <c r="H77" s="29">
        <v>26000</v>
      </c>
      <c r="I77" s="30">
        <v>0</v>
      </c>
      <c r="J77" s="30">
        <v>0</v>
      </c>
      <c r="K77" s="30">
        <f t="shared" si="39"/>
        <v>0</v>
      </c>
      <c r="L77" s="31">
        <v>0</v>
      </c>
      <c r="M77" s="30">
        <v>0</v>
      </c>
      <c r="N77" s="30">
        <v>0</v>
      </c>
      <c r="O77" s="30">
        <f t="shared" si="35"/>
        <v>0</v>
      </c>
      <c r="P77" s="32" t="e">
        <f t="shared" si="40"/>
        <v>#DIV/0!</v>
      </c>
      <c r="Q77" s="33">
        <v>24.5</v>
      </c>
      <c r="R77" s="33">
        <v>0</v>
      </c>
      <c r="S77" s="33">
        <v>0</v>
      </c>
      <c r="T77" s="29">
        <f t="shared" si="43"/>
        <v>24.5</v>
      </c>
      <c r="U77" s="34">
        <f t="shared" si="41"/>
        <v>20548.387096774193</v>
      </c>
      <c r="V77" s="34">
        <f t="shared" si="44"/>
        <v>0</v>
      </c>
      <c r="W77" s="34">
        <v>0</v>
      </c>
      <c r="X77" s="35">
        <f t="shared" si="42"/>
        <v>20548.387096774193</v>
      </c>
      <c r="Y77" s="34">
        <v>0</v>
      </c>
      <c r="Z77" s="34">
        <v>0</v>
      </c>
      <c r="AA77" s="35">
        <v>0</v>
      </c>
      <c r="AB77" s="35">
        <f t="shared" si="36"/>
        <v>20548.387096774193</v>
      </c>
      <c r="AC77" s="36">
        <v>0</v>
      </c>
      <c r="AD77" s="36">
        <v>0</v>
      </c>
      <c r="AE77" s="37">
        <v>0</v>
      </c>
      <c r="AF77" s="38">
        <v>0</v>
      </c>
      <c r="AG77" s="37"/>
      <c r="AH77" s="38"/>
      <c r="AI77" s="37">
        <v>0</v>
      </c>
      <c r="AJ77" s="39">
        <v>0</v>
      </c>
      <c r="AK77" s="40">
        <v>0</v>
      </c>
      <c r="AL77" s="40">
        <v>0</v>
      </c>
      <c r="AM77" s="40">
        <v>0</v>
      </c>
      <c r="AN77" s="40">
        <v>0</v>
      </c>
      <c r="AO77" s="40">
        <v>0</v>
      </c>
      <c r="AP77" s="40">
        <v>0</v>
      </c>
      <c r="AQ77" s="40">
        <v>0</v>
      </c>
      <c r="AR77" s="40">
        <v>0</v>
      </c>
      <c r="AS77" s="40">
        <v>0</v>
      </c>
      <c r="AT77" s="40">
        <v>0</v>
      </c>
      <c r="AU77" s="40">
        <v>0</v>
      </c>
      <c r="AV77" s="40">
        <v>0</v>
      </c>
      <c r="AW77" s="40">
        <v>0</v>
      </c>
      <c r="AX77" s="40">
        <v>0</v>
      </c>
      <c r="AY77" s="40">
        <v>0</v>
      </c>
      <c r="AZ77" s="40">
        <v>0</v>
      </c>
      <c r="BA77" s="40">
        <v>0</v>
      </c>
      <c r="BB77" s="40">
        <v>0</v>
      </c>
      <c r="BC77" s="40">
        <v>0</v>
      </c>
      <c r="BD77" s="40">
        <v>0</v>
      </c>
      <c r="BE77" s="40">
        <v>0</v>
      </c>
      <c r="BF77" s="40">
        <v>0</v>
      </c>
      <c r="BG77" s="40">
        <v>0</v>
      </c>
      <c r="BH77" s="40">
        <v>0</v>
      </c>
      <c r="BI77" s="40">
        <v>0</v>
      </c>
      <c r="BJ77" s="40">
        <v>0</v>
      </c>
      <c r="BK77" s="40">
        <v>0</v>
      </c>
      <c r="BL77" s="40">
        <v>0</v>
      </c>
      <c r="BM77" s="40">
        <v>0</v>
      </c>
      <c r="BN77" s="40">
        <v>0</v>
      </c>
    </row>
    <row r="78" spans="1:66" x14ac:dyDescent="0.25">
      <c r="A78" s="114" t="s">
        <v>216</v>
      </c>
      <c r="B78" s="114" t="s">
        <v>217</v>
      </c>
      <c r="C78" s="115" t="s">
        <v>37</v>
      </c>
      <c r="D78" s="114" t="s">
        <v>218</v>
      </c>
      <c r="E78" s="27">
        <v>309028463395</v>
      </c>
      <c r="F78" s="26" t="s">
        <v>95</v>
      </c>
      <c r="G78" s="28">
        <v>45910</v>
      </c>
      <c r="H78" s="29">
        <v>15000</v>
      </c>
      <c r="I78" s="30">
        <v>0</v>
      </c>
      <c r="J78" s="30">
        <v>0</v>
      </c>
      <c r="K78" s="30">
        <f t="shared" si="39"/>
        <v>0</v>
      </c>
      <c r="L78" s="31">
        <v>0</v>
      </c>
      <c r="M78" s="30">
        <v>0</v>
      </c>
      <c r="N78" s="30">
        <v>0</v>
      </c>
      <c r="O78" s="30">
        <f t="shared" si="35"/>
        <v>0</v>
      </c>
      <c r="P78" s="32" t="e">
        <f t="shared" si="40"/>
        <v>#DIV/0!</v>
      </c>
      <c r="Q78" s="33">
        <v>28.5</v>
      </c>
      <c r="R78" s="33">
        <v>0</v>
      </c>
      <c r="S78" s="33">
        <v>0</v>
      </c>
      <c r="T78" s="29">
        <f t="shared" si="43"/>
        <v>28.5</v>
      </c>
      <c r="U78" s="34">
        <f t="shared" si="41"/>
        <v>13790.322580645161</v>
      </c>
      <c r="V78" s="34">
        <f t="shared" si="44"/>
        <v>0</v>
      </c>
      <c r="W78" s="34">
        <v>0</v>
      </c>
      <c r="X78" s="35">
        <f t="shared" si="42"/>
        <v>13790.322580645161</v>
      </c>
      <c r="Y78" s="34">
        <v>0</v>
      </c>
      <c r="Z78" s="34">
        <v>0</v>
      </c>
      <c r="AA78" s="35">
        <v>3500</v>
      </c>
      <c r="AB78" s="35">
        <f t="shared" si="36"/>
        <v>10290.322580645161</v>
      </c>
      <c r="AC78" s="36">
        <v>0</v>
      </c>
      <c r="AD78" s="36">
        <v>0</v>
      </c>
      <c r="AE78" s="37">
        <v>0</v>
      </c>
      <c r="AF78" s="38">
        <v>0</v>
      </c>
      <c r="AG78" s="37"/>
      <c r="AH78" s="38"/>
      <c r="AI78" s="37">
        <v>0</v>
      </c>
      <c r="AJ78" s="39">
        <v>0</v>
      </c>
      <c r="AK78" s="40">
        <v>0</v>
      </c>
      <c r="AL78" s="40">
        <v>0</v>
      </c>
      <c r="AM78" s="40">
        <v>0</v>
      </c>
      <c r="AN78" s="40">
        <v>0</v>
      </c>
      <c r="AO78" s="40">
        <v>0</v>
      </c>
      <c r="AP78" s="40">
        <v>0</v>
      </c>
      <c r="AQ78" s="40">
        <v>0</v>
      </c>
      <c r="AR78" s="40">
        <v>0</v>
      </c>
      <c r="AS78" s="40">
        <v>0</v>
      </c>
      <c r="AT78" s="40">
        <v>0</v>
      </c>
      <c r="AU78" s="40">
        <v>0</v>
      </c>
      <c r="AV78" s="40">
        <v>0</v>
      </c>
      <c r="AW78" s="40">
        <v>0</v>
      </c>
      <c r="AX78" s="40">
        <v>0</v>
      </c>
      <c r="AY78" s="40">
        <v>0</v>
      </c>
      <c r="AZ78" s="40">
        <v>0</v>
      </c>
      <c r="BA78" s="40">
        <v>0</v>
      </c>
      <c r="BB78" s="40">
        <v>0</v>
      </c>
      <c r="BC78" s="40">
        <v>0</v>
      </c>
      <c r="BD78" s="40">
        <v>0</v>
      </c>
      <c r="BE78" s="40">
        <v>0</v>
      </c>
      <c r="BF78" s="40">
        <v>0</v>
      </c>
      <c r="BG78" s="40">
        <v>0</v>
      </c>
      <c r="BH78" s="40">
        <v>0</v>
      </c>
      <c r="BI78" s="40">
        <v>0</v>
      </c>
      <c r="BJ78" s="40">
        <v>0</v>
      </c>
      <c r="BK78" s="40">
        <v>0</v>
      </c>
      <c r="BL78" s="40">
        <v>0</v>
      </c>
      <c r="BM78" s="40">
        <v>0</v>
      </c>
      <c r="BN78" s="40">
        <v>0</v>
      </c>
    </row>
    <row r="79" spans="1:66" x14ac:dyDescent="0.25">
      <c r="A79" s="114" t="s">
        <v>219</v>
      </c>
      <c r="B79" s="114" t="s">
        <v>220</v>
      </c>
      <c r="C79" s="115" t="s">
        <v>37</v>
      </c>
      <c r="D79" s="114" t="s">
        <v>221</v>
      </c>
      <c r="E79" s="27" t="s">
        <v>222</v>
      </c>
      <c r="F79" s="26" t="s">
        <v>95</v>
      </c>
      <c r="G79" s="28">
        <v>46127</v>
      </c>
      <c r="H79" s="29">
        <v>13000</v>
      </c>
      <c r="I79" s="30">
        <v>0</v>
      </c>
      <c r="J79" s="30">
        <v>0</v>
      </c>
      <c r="K79" s="30">
        <f t="shared" si="39"/>
        <v>0</v>
      </c>
      <c r="L79" s="31">
        <v>0</v>
      </c>
      <c r="M79" s="30">
        <v>0</v>
      </c>
      <c r="N79" s="30">
        <v>0</v>
      </c>
      <c r="O79" s="30">
        <f t="shared" si="35"/>
        <v>0</v>
      </c>
      <c r="P79" s="32" t="e">
        <f t="shared" si="40"/>
        <v>#DIV/0!</v>
      </c>
      <c r="Q79" s="33">
        <v>24</v>
      </c>
      <c r="R79" s="33">
        <v>0</v>
      </c>
      <c r="S79" s="33">
        <v>0</v>
      </c>
      <c r="T79" s="29">
        <f t="shared" si="43"/>
        <v>24</v>
      </c>
      <c r="U79" s="34">
        <f t="shared" si="41"/>
        <v>10064.516129032258</v>
      </c>
      <c r="V79" s="34">
        <f t="shared" si="44"/>
        <v>0</v>
      </c>
      <c r="W79" s="34">
        <v>0</v>
      </c>
      <c r="X79" s="35">
        <f t="shared" si="42"/>
        <v>10064.516129032258</v>
      </c>
      <c r="Y79" s="34">
        <v>0</v>
      </c>
      <c r="Z79" s="34">
        <v>0</v>
      </c>
      <c r="AA79" s="35">
        <v>0</v>
      </c>
      <c r="AB79" s="35">
        <f t="shared" si="36"/>
        <v>10064.516129032258</v>
      </c>
      <c r="AC79" s="36">
        <v>0</v>
      </c>
      <c r="AD79" s="36">
        <v>0</v>
      </c>
      <c r="AE79" s="37">
        <v>0</v>
      </c>
      <c r="AF79" s="38">
        <v>0</v>
      </c>
      <c r="AG79" s="37"/>
      <c r="AH79" s="38"/>
      <c r="AI79" s="37">
        <v>0</v>
      </c>
      <c r="AJ79" s="39">
        <v>0</v>
      </c>
      <c r="AK79" s="40">
        <v>0</v>
      </c>
      <c r="AL79" s="40">
        <v>0</v>
      </c>
      <c r="AM79" s="40">
        <v>0</v>
      </c>
      <c r="AN79" s="40">
        <v>0</v>
      </c>
      <c r="AO79" s="40">
        <v>0</v>
      </c>
      <c r="AP79" s="40">
        <v>0</v>
      </c>
      <c r="AQ79" s="40">
        <v>0</v>
      </c>
      <c r="AR79" s="40">
        <v>0</v>
      </c>
      <c r="AS79" s="40">
        <v>0</v>
      </c>
      <c r="AT79" s="40">
        <v>0</v>
      </c>
      <c r="AU79" s="40">
        <v>0</v>
      </c>
      <c r="AV79" s="40">
        <v>0</v>
      </c>
      <c r="AW79" s="40">
        <v>0</v>
      </c>
      <c r="AX79" s="40">
        <v>0</v>
      </c>
      <c r="AY79" s="40">
        <v>0</v>
      </c>
      <c r="AZ79" s="40">
        <v>0</v>
      </c>
      <c r="BA79" s="40">
        <v>0</v>
      </c>
      <c r="BB79" s="40">
        <v>0</v>
      </c>
      <c r="BC79" s="40">
        <v>0</v>
      </c>
      <c r="BD79" s="40">
        <v>0</v>
      </c>
      <c r="BE79" s="40">
        <v>0</v>
      </c>
      <c r="BF79" s="40">
        <v>0</v>
      </c>
      <c r="BG79" s="40">
        <v>0</v>
      </c>
      <c r="BH79" s="40">
        <v>0</v>
      </c>
      <c r="BI79" s="40">
        <v>0</v>
      </c>
      <c r="BJ79" s="40">
        <v>0</v>
      </c>
      <c r="BK79" s="40">
        <v>0</v>
      </c>
      <c r="BL79" s="40">
        <v>0</v>
      </c>
      <c r="BM79" s="40">
        <v>0</v>
      </c>
      <c r="BN79" s="40">
        <v>0</v>
      </c>
    </row>
    <row r="80" spans="1:66" s="97" customFormat="1" x14ac:dyDescent="0.25">
      <c r="A80" s="80" t="s">
        <v>223</v>
      </c>
      <c r="B80" s="80" t="s">
        <v>224</v>
      </c>
      <c r="C80" s="81" t="s">
        <v>37</v>
      </c>
      <c r="D80" s="80" t="s">
        <v>122</v>
      </c>
      <c r="E80" s="82">
        <v>12470100068213</v>
      </c>
      <c r="F80" s="83" t="s">
        <v>95</v>
      </c>
      <c r="G80" s="84">
        <v>46199</v>
      </c>
      <c r="H80" s="85">
        <v>3000</v>
      </c>
      <c r="I80" s="86">
        <v>0</v>
      </c>
      <c r="J80" s="86">
        <v>0</v>
      </c>
      <c r="K80" s="86">
        <f t="shared" si="39"/>
        <v>0</v>
      </c>
      <c r="L80" s="87">
        <v>0</v>
      </c>
      <c r="M80" s="86">
        <v>0</v>
      </c>
      <c r="N80" s="86">
        <v>0</v>
      </c>
      <c r="O80" s="86">
        <f t="shared" si="35"/>
        <v>0</v>
      </c>
      <c r="P80" s="88" t="e">
        <f t="shared" si="40"/>
        <v>#DIV/0!</v>
      </c>
      <c r="Q80" s="89">
        <v>28.5</v>
      </c>
      <c r="R80" s="89">
        <v>0</v>
      </c>
      <c r="S80" s="89">
        <v>0</v>
      </c>
      <c r="T80" s="85">
        <f t="shared" si="43"/>
        <v>28.5</v>
      </c>
      <c r="U80" s="90">
        <f t="shared" si="41"/>
        <v>2758.0645161290322</v>
      </c>
      <c r="V80" s="90">
        <f t="shared" si="44"/>
        <v>0</v>
      </c>
      <c r="W80" s="90">
        <v>0</v>
      </c>
      <c r="X80" s="91">
        <f t="shared" si="42"/>
        <v>2758.0645161290322</v>
      </c>
      <c r="Y80" s="90">
        <v>0</v>
      </c>
      <c r="Z80" s="90">
        <v>400</v>
      </c>
      <c r="AA80" s="91">
        <v>0</v>
      </c>
      <c r="AB80" s="91">
        <f t="shared" si="36"/>
        <v>3158.0645161290322</v>
      </c>
      <c r="AC80" s="92">
        <v>0</v>
      </c>
      <c r="AD80" s="92">
        <v>0</v>
      </c>
      <c r="AE80" s="93">
        <v>0</v>
      </c>
      <c r="AF80" s="94">
        <v>0</v>
      </c>
      <c r="AG80" s="93"/>
      <c r="AH80" s="94"/>
      <c r="AI80" s="93">
        <v>0</v>
      </c>
      <c r="AJ80" s="95">
        <v>0</v>
      </c>
      <c r="AK80" s="96">
        <v>0</v>
      </c>
      <c r="AL80" s="96">
        <v>0</v>
      </c>
      <c r="AM80" s="96">
        <v>0</v>
      </c>
      <c r="AN80" s="96">
        <v>0</v>
      </c>
      <c r="AO80" s="96">
        <v>0</v>
      </c>
      <c r="AP80" s="96">
        <v>0</v>
      </c>
      <c r="AQ80" s="96">
        <v>0</v>
      </c>
      <c r="AR80" s="96">
        <v>0</v>
      </c>
      <c r="AS80" s="96">
        <v>0</v>
      </c>
      <c r="AT80" s="96">
        <v>0</v>
      </c>
      <c r="AU80" s="96">
        <v>0</v>
      </c>
      <c r="AV80" s="96">
        <v>0</v>
      </c>
      <c r="AW80" s="96">
        <v>0</v>
      </c>
      <c r="AX80" s="96">
        <v>0</v>
      </c>
      <c r="AY80" s="96">
        <v>0</v>
      </c>
      <c r="AZ80" s="96">
        <v>0</v>
      </c>
      <c r="BA80" s="96">
        <v>0</v>
      </c>
      <c r="BB80" s="96">
        <v>0</v>
      </c>
      <c r="BC80" s="96">
        <v>0</v>
      </c>
      <c r="BD80" s="96">
        <v>0</v>
      </c>
      <c r="BE80" s="96">
        <v>0</v>
      </c>
      <c r="BF80" s="96">
        <v>0</v>
      </c>
      <c r="BG80" s="96">
        <v>0</v>
      </c>
      <c r="BH80" s="96">
        <v>0</v>
      </c>
      <c r="BI80" s="96">
        <v>0</v>
      </c>
      <c r="BJ80" s="96">
        <v>0</v>
      </c>
      <c r="BK80" s="96">
        <v>0</v>
      </c>
      <c r="BL80" s="96">
        <v>0</v>
      </c>
      <c r="BM80" s="96">
        <v>0</v>
      </c>
      <c r="BN80" s="96">
        <v>0</v>
      </c>
    </row>
    <row r="81" spans="1:66" x14ac:dyDescent="0.25">
      <c r="A81" s="114" t="s">
        <v>225</v>
      </c>
      <c r="B81" s="114" t="s">
        <v>226</v>
      </c>
      <c r="C81" s="115" t="s">
        <v>37</v>
      </c>
      <c r="D81" s="114" t="s">
        <v>127</v>
      </c>
      <c r="E81" s="27">
        <v>34533914857</v>
      </c>
      <c r="F81" s="26" t="s">
        <v>95</v>
      </c>
      <c r="G81" s="28">
        <v>46122</v>
      </c>
      <c r="H81" s="29">
        <v>12000</v>
      </c>
      <c r="I81" s="30">
        <v>0</v>
      </c>
      <c r="J81" s="30">
        <v>0</v>
      </c>
      <c r="K81" s="30">
        <f t="shared" si="39"/>
        <v>0</v>
      </c>
      <c r="L81" s="31">
        <v>0</v>
      </c>
      <c r="M81" s="30">
        <v>0</v>
      </c>
      <c r="N81" s="30">
        <v>0</v>
      </c>
      <c r="O81" s="30">
        <f t="shared" si="35"/>
        <v>0</v>
      </c>
      <c r="P81" s="32" t="e">
        <f t="shared" si="40"/>
        <v>#DIV/0!</v>
      </c>
      <c r="Q81" s="33">
        <v>29</v>
      </c>
      <c r="R81" s="33">
        <v>0</v>
      </c>
      <c r="S81" s="33">
        <v>0</v>
      </c>
      <c r="T81" s="29">
        <f t="shared" si="43"/>
        <v>29</v>
      </c>
      <c r="U81" s="34">
        <f t="shared" si="41"/>
        <v>11225.806451612903</v>
      </c>
      <c r="V81" s="34">
        <f t="shared" si="44"/>
        <v>0</v>
      </c>
      <c r="W81" s="34">
        <v>0</v>
      </c>
      <c r="X81" s="35">
        <f t="shared" si="42"/>
        <v>11225.806451612903</v>
      </c>
      <c r="Y81" s="34">
        <v>0</v>
      </c>
      <c r="Z81" s="34">
        <v>0</v>
      </c>
      <c r="AA81" s="35">
        <v>0</v>
      </c>
      <c r="AB81" s="35">
        <f t="shared" si="36"/>
        <v>11225.806451612903</v>
      </c>
      <c r="AC81" s="36">
        <v>0</v>
      </c>
      <c r="AD81" s="36">
        <v>0</v>
      </c>
      <c r="AE81" s="37">
        <v>0</v>
      </c>
      <c r="AF81" s="38">
        <v>0</v>
      </c>
      <c r="AG81" s="37"/>
      <c r="AH81" s="38"/>
      <c r="AI81" s="37">
        <v>0</v>
      </c>
      <c r="AJ81" s="39">
        <v>0</v>
      </c>
      <c r="AK81" s="40">
        <v>0</v>
      </c>
      <c r="AL81" s="40">
        <v>0</v>
      </c>
      <c r="AM81" s="40">
        <v>0</v>
      </c>
      <c r="AN81" s="40">
        <v>0</v>
      </c>
      <c r="AO81" s="40">
        <v>0</v>
      </c>
      <c r="AP81" s="40">
        <v>0</v>
      </c>
      <c r="AQ81" s="40">
        <v>0</v>
      </c>
      <c r="AR81" s="40">
        <v>0</v>
      </c>
      <c r="AS81" s="40">
        <v>0</v>
      </c>
      <c r="AT81" s="40">
        <v>0</v>
      </c>
      <c r="AU81" s="40">
        <v>0</v>
      </c>
      <c r="AV81" s="40">
        <v>0</v>
      </c>
      <c r="AW81" s="40">
        <v>0</v>
      </c>
      <c r="AX81" s="40">
        <v>0</v>
      </c>
      <c r="AY81" s="40">
        <v>0</v>
      </c>
      <c r="AZ81" s="40">
        <v>0</v>
      </c>
      <c r="BA81" s="40">
        <v>0</v>
      </c>
      <c r="BB81" s="40">
        <v>0</v>
      </c>
      <c r="BC81" s="40">
        <v>0</v>
      </c>
      <c r="BD81" s="40">
        <v>0</v>
      </c>
      <c r="BE81" s="40">
        <v>0</v>
      </c>
      <c r="BF81" s="40">
        <v>0</v>
      </c>
      <c r="BG81" s="40">
        <v>0</v>
      </c>
      <c r="BH81" s="40">
        <v>0</v>
      </c>
      <c r="BI81" s="40">
        <v>0</v>
      </c>
      <c r="BJ81" s="40">
        <v>0</v>
      </c>
      <c r="BK81" s="40">
        <v>0</v>
      </c>
      <c r="BL81" s="40">
        <v>0</v>
      </c>
      <c r="BM81" s="40">
        <v>0</v>
      </c>
      <c r="BN81" s="40">
        <v>0</v>
      </c>
    </row>
    <row r="82" spans="1:66" x14ac:dyDescent="0.25">
      <c r="A82" s="114" t="s">
        <v>227</v>
      </c>
      <c r="B82" s="114" t="s">
        <v>228</v>
      </c>
      <c r="C82" s="115" t="s">
        <v>37</v>
      </c>
      <c r="D82" s="114" t="s">
        <v>229</v>
      </c>
      <c r="E82" s="27">
        <v>691104000086736</v>
      </c>
      <c r="F82" s="26" t="s">
        <v>95</v>
      </c>
      <c r="G82" s="28">
        <v>46161</v>
      </c>
      <c r="H82" s="29">
        <v>23000</v>
      </c>
      <c r="I82" s="30">
        <v>0</v>
      </c>
      <c r="J82" s="30">
        <v>0</v>
      </c>
      <c r="K82" s="30">
        <f t="shared" si="39"/>
        <v>0</v>
      </c>
      <c r="L82" s="31">
        <v>0</v>
      </c>
      <c r="M82" s="30">
        <v>0</v>
      </c>
      <c r="N82" s="30">
        <v>0</v>
      </c>
      <c r="O82" s="30">
        <f t="shared" si="35"/>
        <v>0</v>
      </c>
      <c r="P82" s="32" t="e">
        <f t="shared" si="40"/>
        <v>#DIV/0!</v>
      </c>
      <c r="Q82" s="33">
        <v>29</v>
      </c>
      <c r="R82" s="33">
        <v>0</v>
      </c>
      <c r="S82" s="33">
        <v>0</v>
      </c>
      <c r="T82" s="29">
        <f t="shared" si="43"/>
        <v>29</v>
      </c>
      <c r="U82" s="34">
        <f t="shared" si="41"/>
        <v>21516.129032258064</v>
      </c>
      <c r="V82" s="34">
        <f t="shared" si="44"/>
        <v>0</v>
      </c>
      <c r="W82" s="34">
        <v>0</v>
      </c>
      <c r="X82" s="35">
        <f t="shared" si="42"/>
        <v>21516.129032258064</v>
      </c>
      <c r="Y82" s="34">
        <v>0</v>
      </c>
      <c r="Z82" s="34">
        <v>0</v>
      </c>
      <c r="AA82" s="35">
        <v>0</v>
      </c>
      <c r="AB82" s="35">
        <f t="shared" si="36"/>
        <v>21516.129032258064</v>
      </c>
      <c r="AC82" s="36">
        <v>0</v>
      </c>
      <c r="AD82" s="36">
        <v>0</v>
      </c>
      <c r="AE82" s="37">
        <v>0</v>
      </c>
      <c r="AF82" s="38">
        <v>0</v>
      </c>
      <c r="AG82" s="37"/>
      <c r="AH82" s="38"/>
      <c r="AI82" s="37">
        <v>0</v>
      </c>
      <c r="AJ82" s="39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</row>
    <row r="83" spans="1:66" x14ac:dyDescent="0.25">
      <c r="A83" s="114" t="s">
        <v>230</v>
      </c>
      <c r="B83" s="114" t="s">
        <v>231</v>
      </c>
      <c r="C83" s="115" t="s">
        <v>37</v>
      </c>
      <c r="D83" s="114" t="s">
        <v>122</v>
      </c>
      <c r="E83" s="27">
        <v>45820100010079</v>
      </c>
      <c r="F83" s="26" t="s">
        <v>95</v>
      </c>
      <c r="G83" s="28">
        <v>46182</v>
      </c>
      <c r="H83" s="29">
        <v>17000</v>
      </c>
      <c r="I83" s="30">
        <v>0</v>
      </c>
      <c r="J83" s="30">
        <v>0</v>
      </c>
      <c r="K83" s="30">
        <f t="shared" si="39"/>
        <v>0</v>
      </c>
      <c r="L83" s="31">
        <v>0</v>
      </c>
      <c r="M83" s="30">
        <v>0</v>
      </c>
      <c r="N83" s="30">
        <v>0</v>
      </c>
      <c r="O83" s="30">
        <f t="shared" si="35"/>
        <v>0</v>
      </c>
      <c r="P83" s="32" t="e">
        <f t="shared" si="40"/>
        <v>#DIV/0!</v>
      </c>
      <c r="Q83" s="33">
        <v>26</v>
      </c>
      <c r="R83" s="33">
        <v>0</v>
      </c>
      <c r="S83" s="33">
        <v>0</v>
      </c>
      <c r="T83" s="29">
        <f t="shared" si="43"/>
        <v>26</v>
      </c>
      <c r="U83" s="34">
        <f t="shared" si="41"/>
        <v>14258.064516129032</v>
      </c>
      <c r="V83" s="34">
        <f t="shared" si="44"/>
        <v>0</v>
      </c>
      <c r="W83" s="34">
        <v>0</v>
      </c>
      <c r="X83" s="35">
        <f t="shared" si="42"/>
        <v>14258.064516129032</v>
      </c>
      <c r="Y83" s="34">
        <v>0</v>
      </c>
      <c r="Z83" s="34">
        <v>0</v>
      </c>
      <c r="AA83" s="35">
        <v>0</v>
      </c>
      <c r="AB83" s="35">
        <f t="shared" si="36"/>
        <v>14258.064516129032</v>
      </c>
      <c r="AC83" s="36">
        <v>0</v>
      </c>
      <c r="AD83" s="36">
        <v>0</v>
      </c>
      <c r="AE83" s="37">
        <v>0</v>
      </c>
      <c r="AF83" s="38">
        <v>0</v>
      </c>
      <c r="AG83" s="37"/>
      <c r="AH83" s="38"/>
      <c r="AI83" s="37">
        <v>0</v>
      </c>
      <c r="AJ83" s="39">
        <v>0</v>
      </c>
      <c r="AK83" s="40">
        <v>0</v>
      </c>
      <c r="AL83" s="40">
        <v>0</v>
      </c>
      <c r="AM83" s="40">
        <v>0</v>
      </c>
      <c r="AN83" s="40">
        <v>0</v>
      </c>
      <c r="AO83" s="40">
        <v>0</v>
      </c>
      <c r="AP83" s="40">
        <v>0</v>
      </c>
      <c r="AQ83" s="40">
        <v>0</v>
      </c>
      <c r="AR83" s="40">
        <v>0</v>
      </c>
      <c r="AS83" s="40">
        <v>0</v>
      </c>
      <c r="AT83" s="40">
        <v>0</v>
      </c>
      <c r="AU83" s="40">
        <v>0</v>
      </c>
      <c r="AV83" s="40">
        <v>0</v>
      </c>
      <c r="AW83" s="40">
        <v>0</v>
      </c>
      <c r="AX83" s="40">
        <v>0</v>
      </c>
      <c r="AY83" s="40">
        <v>0</v>
      </c>
      <c r="AZ83" s="40">
        <v>0</v>
      </c>
      <c r="BA83" s="40">
        <v>0</v>
      </c>
      <c r="BB83" s="40">
        <v>0</v>
      </c>
      <c r="BC83" s="40">
        <v>0</v>
      </c>
      <c r="BD83" s="40">
        <v>0</v>
      </c>
      <c r="BE83" s="40">
        <v>0</v>
      </c>
      <c r="BF83" s="40">
        <v>0</v>
      </c>
      <c r="BG83" s="40">
        <v>0</v>
      </c>
      <c r="BH83" s="40">
        <v>0</v>
      </c>
      <c r="BI83" s="40">
        <v>0</v>
      </c>
      <c r="BJ83" s="40">
        <v>0</v>
      </c>
      <c r="BK83" s="40">
        <v>0</v>
      </c>
      <c r="BL83" s="40">
        <v>0</v>
      </c>
      <c r="BM83" s="40">
        <v>0</v>
      </c>
      <c r="BN83" s="40">
        <v>0</v>
      </c>
    </row>
    <row r="84" spans="1:66" x14ac:dyDescent="0.25">
      <c r="A84" s="114" t="s">
        <v>232</v>
      </c>
      <c r="B84" s="114" t="s">
        <v>233</v>
      </c>
      <c r="C84" s="115" t="s">
        <v>37</v>
      </c>
      <c r="D84" s="114" t="s">
        <v>199</v>
      </c>
      <c r="E84" s="27" t="s">
        <v>234</v>
      </c>
      <c r="F84" s="26" t="s">
        <v>95</v>
      </c>
      <c r="G84" s="28">
        <v>46224</v>
      </c>
      <c r="H84" s="29">
        <v>13000</v>
      </c>
      <c r="I84" s="30">
        <v>0</v>
      </c>
      <c r="J84" s="30">
        <v>0</v>
      </c>
      <c r="K84" s="30">
        <f t="shared" si="39"/>
        <v>0</v>
      </c>
      <c r="L84" s="31">
        <v>0</v>
      </c>
      <c r="M84" s="30">
        <v>0</v>
      </c>
      <c r="N84" s="30">
        <v>0</v>
      </c>
      <c r="O84" s="30">
        <f t="shared" si="35"/>
        <v>0</v>
      </c>
      <c r="P84" s="32" t="e">
        <f t="shared" si="40"/>
        <v>#DIV/0!</v>
      </c>
      <c r="Q84" s="33">
        <v>11</v>
      </c>
      <c r="R84" s="33">
        <v>1.5</v>
      </c>
      <c r="S84" s="33">
        <v>0</v>
      </c>
      <c r="T84" s="29">
        <f t="shared" si="43"/>
        <v>9.5</v>
      </c>
      <c r="U84" s="34">
        <f t="shared" si="41"/>
        <v>3983.8709677419356</v>
      </c>
      <c r="V84" s="34">
        <f t="shared" si="44"/>
        <v>0</v>
      </c>
      <c r="W84" s="34">
        <v>0</v>
      </c>
      <c r="X84" s="35">
        <f t="shared" ref="X84" si="45">SUM(U84:W84)</f>
        <v>3983.8709677419356</v>
      </c>
      <c r="Y84" s="34">
        <v>0</v>
      </c>
      <c r="Z84" s="34">
        <v>0</v>
      </c>
      <c r="AA84" s="35">
        <v>0</v>
      </c>
      <c r="AB84" s="35">
        <f t="shared" si="36"/>
        <v>3983.8709677419356</v>
      </c>
      <c r="AC84" s="36">
        <v>0</v>
      </c>
      <c r="AD84" s="36">
        <v>0</v>
      </c>
      <c r="AE84" s="37">
        <v>0</v>
      </c>
      <c r="AF84" s="38">
        <v>0</v>
      </c>
      <c r="AG84" s="37"/>
      <c r="AH84" s="38"/>
      <c r="AI84" s="37">
        <v>0</v>
      </c>
      <c r="AJ84" s="39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</row>
    <row r="85" spans="1:66" x14ac:dyDescent="0.25">
      <c r="A85" s="114" t="s">
        <v>235</v>
      </c>
      <c r="B85" s="114" t="s">
        <v>236</v>
      </c>
      <c r="C85" s="115" t="s">
        <v>37</v>
      </c>
      <c r="D85" s="114" t="s">
        <v>237</v>
      </c>
      <c r="E85" s="27">
        <v>2872122001748</v>
      </c>
      <c r="F85" s="26" t="s">
        <v>95</v>
      </c>
      <c r="G85" s="28">
        <v>44091</v>
      </c>
      <c r="H85" s="29">
        <v>18000</v>
      </c>
      <c r="I85" s="30">
        <v>0</v>
      </c>
      <c r="J85" s="30">
        <v>0</v>
      </c>
      <c r="K85" s="30">
        <f t="shared" si="39"/>
        <v>0</v>
      </c>
      <c r="L85" s="31">
        <v>0</v>
      </c>
      <c r="M85" s="30">
        <v>0</v>
      </c>
      <c r="N85" s="30">
        <v>0</v>
      </c>
      <c r="O85" s="30">
        <f t="shared" si="35"/>
        <v>0</v>
      </c>
      <c r="P85" s="32" t="e">
        <f t="shared" si="40"/>
        <v>#DIV/0!</v>
      </c>
      <c r="Q85" s="33">
        <v>31</v>
      </c>
      <c r="R85" s="33">
        <v>0</v>
      </c>
      <c r="S85" s="33">
        <v>0</v>
      </c>
      <c r="T85" s="29">
        <f t="shared" si="43"/>
        <v>31</v>
      </c>
      <c r="U85" s="34">
        <f t="shared" si="41"/>
        <v>18000</v>
      </c>
      <c r="V85" s="34">
        <f t="shared" si="44"/>
        <v>0</v>
      </c>
      <c r="W85" s="34">
        <v>0</v>
      </c>
      <c r="X85" s="35">
        <f t="shared" si="42"/>
        <v>18000</v>
      </c>
      <c r="Y85" s="34">
        <v>0</v>
      </c>
      <c r="Z85" s="34">
        <v>0</v>
      </c>
      <c r="AA85" s="35">
        <v>0</v>
      </c>
      <c r="AB85" s="35">
        <f t="shared" si="36"/>
        <v>18000</v>
      </c>
      <c r="AC85" s="36">
        <v>0</v>
      </c>
      <c r="AD85" s="36">
        <v>0</v>
      </c>
      <c r="AE85" s="37">
        <v>0</v>
      </c>
      <c r="AF85" s="38">
        <v>0</v>
      </c>
      <c r="AG85" s="37"/>
      <c r="AH85" s="38"/>
      <c r="AI85" s="37">
        <v>0</v>
      </c>
      <c r="AJ85" s="39">
        <v>0</v>
      </c>
      <c r="AK85" s="40">
        <v>0</v>
      </c>
      <c r="AL85" s="40">
        <v>0</v>
      </c>
      <c r="AM85" s="40">
        <v>0</v>
      </c>
      <c r="AN85" s="40">
        <v>0</v>
      </c>
      <c r="AO85" s="40">
        <v>0</v>
      </c>
      <c r="AP85" s="40">
        <v>0</v>
      </c>
      <c r="AQ85" s="40">
        <v>0</v>
      </c>
      <c r="AR85" s="40">
        <v>0</v>
      </c>
      <c r="AS85" s="40">
        <v>0</v>
      </c>
      <c r="AT85" s="40">
        <v>0</v>
      </c>
      <c r="AU85" s="40">
        <v>0</v>
      </c>
      <c r="AV85" s="40">
        <v>0</v>
      </c>
      <c r="AW85" s="40">
        <v>0</v>
      </c>
      <c r="AX85" s="40">
        <v>0</v>
      </c>
      <c r="AY85" s="40">
        <v>0</v>
      </c>
      <c r="AZ85" s="40">
        <v>0</v>
      </c>
      <c r="BA85" s="40">
        <v>0</v>
      </c>
      <c r="BB85" s="40">
        <v>0</v>
      </c>
      <c r="BC85" s="40">
        <v>0</v>
      </c>
      <c r="BD85" s="40">
        <v>0</v>
      </c>
      <c r="BE85" s="40">
        <v>0</v>
      </c>
      <c r="BF85" s="40">
        <v>0</v>
      </c>
      <c r="BG85" s="40">
        <v>0</v>
      </c>
      <c r="BH85" s="40">
        <v>0</v>
      </c>
      <c r="BI85" s="40">
        <v>0</v>
      </c>
      <c r="BJ85" s="40">
        <v>0</v>
      </c>
      <c r="BK85" s="40">
        <v>0</v>
      </c>
      <c r="BL85" s="40">
        <v>0</v>
      </c>
      <c r="BM85" s="40">
        <v>0</v>
      </c>
      <c r="BN85" s="40">
        <v>0</v>
      </c>
    </row>
    <row r="86" spans="1:66" x14ac:dyDescent="0.25">
      <c r="A86" s="114" t="s">
        <v>238</v>
      </c>
      <c r="B86" s="114" t="s">
        <v>239</v>
      </c>
      <c r="C86" s="115" t="s">
        <v>37</v>
      </c>
      <c r="D86" s="114" t="s">
        <v>95</v>
      </c>
      <c r="E86" s="27" t="s">
        <v>240</v>
      </c>
      <c r="F86" s="26" t="s">
        <v>95</v>
      </c>
      <c r="G86" s="28">
        <v>46198</v>
      </c>
      <c r="H86" s="29">
        <v>11000</v>
      </c>
      <c r="I86" s="30">
        <v>0</v>
      </c>
      <c r="J86" s="30">
        <v>0</v>
      </c>
      <c r="K86" s="30">
        <f t="shared" si="39"/>
        <v>0</v>
      </c>
      <c r="L86" s="31">
        <v>0</v>
      </c>
      <c r="M86" s="30">
        <v>0</v>
      </c>
      <c r="N86" s="30">
        <v>0</v>
      </c>
      <c r="O86" s="30">
        <f t="shared" si="35"/>
        <v>0</v>
      </c>
      <c r="P86" s="32" t="e">
        <f t="shared" si="40"/>
        <v>#DIV/0!</v>
      </c>
      <c r="Q86" s="33">
        <v>26</v>
      </c>
      <c r="R86" s="33">
        <v>0</v>
      </c>
      <c r="S86" s="33">
        <v>0</v>
      </c>
      <c r="T86" s="29">
        <f t="shared" si="43"/>
        <v>26</v>
      </c>
      <c r="U86" s="34">
        <f t="shared" si="41"/>
        <v>9225.8064516129034</v>
      </c>
      <c r="V86" s="34">
        <f t="shared" si="44"/>
        <v>0</v>
      </c>
      <c r="W86" s="34">
        <v>0</v>
      </c>
      <c r="X86" s="35">
        <f t="shared" si="42"/>
        <v>9225.8064516129034</v>
      </c>
      <c r="Y86" s="34">
        <v>0</v>
      </c>
      <c r="Z86" s="34">
        <v>0</v>
      </c>
      <c r="AA86" s="35">
        <v>0</v>
      </c>
      <c r="AB86" s="35">
        <f t="shared" si="36"/>
        <v>9225.8064516129034</v>
      </c>
      <c r="AC86" s="36">
        <v>0</v>
      </c>
      <c r="AD86" s="36">
        <v>0</v>
      </c>
      <c r="AE86" s="37">
        <v>0</v>
      </c>
      <c r="AF86" s="38">
        <v>0</v>
      </c>
      <c r="AG86" s="37"/>
      <c r="AH86" s="38"/>
      <c r="AI86" s="37">
        <v>0</v>
      </c>
      <c r="AJ86" s="39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0</v>
      </c>
      <c r="BE86" s="40">
        <v>0</v>
      </c>
      <c r="BF86" s="40">
        <v>0</v>
      </c>
      <c r="BG86" s="40">
        <v>0</v>
      </c>
      <c r="BH86" s="40">
        <v>0</v>
      </c>
      <c r="BI86" s="40">
        <v>0</v>
      </c>
      <c r="BJ86" s="40">
        <v>0</v>
      </c>
      <c r="BK86" s="40">
        <v>0</v>
      </c>
      <c r="BL86" s="40">
        <v>0</v>
      </c>
      <c r="BM86" s="40">
        <v>0</v>
      </c>
      <c r="BN86" s="40">
        <v>0</v>
      </c>
    </row>
    <row r="87" spans="1:66" s="24" customFormat="1" x14ac:dyDescent="0.25">
      <c r="A87" s="17" t="s">
        <v>241</v>
      </c>
      <c r="B87" s="17"/>
      <c r="C87" s="18"/>
      <c r="D87" s="17"/>
      <c r="E87" s="19"/>
      <c r="F87" s="18"/>
      <c r="G87" s="20"/>
      <c r="H87" s="21">
        <f>SUM(H88:H89)</f>
        <v>26000</v>
      </c>
      <c r="I87" s="21">
        <f t="shared" ref="I87:BN87" si="46">SUM(I88:I89)</f>
        <v>11000</v>
      </c>
      <c r="J87" s="21">
        <f t="shared" si="46"/>
        <v>11000</v>
      </c>
      <c r="K87" s="21">
        <f t="shared" si="46"/>
        <v>2101</v>
      </c>
      <c r="L87" s="21">
        <f t="shared" si="46"/>
        <v>0</v>
      </c>
      <c r="M87" s="21">
        <f t="shared" si="46"/>
        <v>0</v>
      </c>
      <c r="N87" s="21">
        <f t="shared" si="46"/>
        <v>2101</v>
      </c>
      <c r="O87" s="21">
        <f t="shared" si="35"/>
        <v>-8899</v>
      </c>
      <c r="P87" s="21" t="e">
        <f t="shared" si="46"/>
        <v>#DIV/0!</v>
      </c>
      <c r="Q87" s="21">
        <f t="shared" si="46"/>
        <v>54</v>
      </c>
      <c r="R87" s="21">
        <f t="shared" si="46"/>
        <v>0</v>
      </c>
      <c r="S87" s="21">
        <f t="shared" si="46"/>
        <v>0</v>
      </c>
      <c r="T87" s="21">
        <f t="shared" si="46"/>
        <v>54</v>
      </c>
      <c r="U87" s="21">
        <f t="shared" si="46"/>
        <v>23161.290322580644</v>
      </c>
      <c r="V87" s="21">
        <f t="shared" si="46"/>
        <v>0</v>
      </c>
      <c r="W87" s="21">
        <f t="shared" si="46"/>
        <v>0</v>
      </c>
      <c r="X87" s="21">
        <f t="shared" si="46"/>
        <v>23161.290322580644</v>
      </c>
      <c r="Y87" s="21">
        <f t="shared" si="46"/>
        <v>0</v>
      </c>
      <c r="Z87" s="21">
        <f t="shared" si="46"/>
        <v>0</v>
      </c>
      <c r="AA87" s="21">
        <f t="shared" si="46"/>
        <v>0</v>
      </c>
      <c r="AB87" s="21">
        <f t="shared" si="36"/>
        <v>23161.290322580644</v>
      </c>
      <c r="AC87" s="21">
        <f t="shared" si="46"/>
        <v>0</v>
      </c>
      <c r="AD87" s="21">
        <f t="shared" si="46"/>
        <v>0</v>
      </c>
      <c r="AE87" s="21">
        <f t="shared" si="46"/>
        <v>0</v>
      </c>
      <c r="AF87" s="21">
        <f t="shared" si="46"/>
        <v>0</v>
      </c>
      <c r="AG87" s="21">
        <f t="shared" si="46"/>
        <v>0</v>
      </c>
      <c r="AH87" s="21">
        <f t="shared" si="46"/>
        <v>0</v>
      </c>
      <c r="AI87" s="21">
        <f t="shared" si="46"/>
        <v>0</v>
      </c>
      <c r="AJ87" s="21">
        <f t="shared" si="46"/>
        <v>0</v>
      </c>
      <c r="AK87" s="21">
        <f t="shared" si="46"/>
        <v>0</v>
      </c>
      <c r="AL87" s="21">
        <f t="shared" si="46"/>
        <v>0</v>
      </c>
      <c r="AM87" s="21">
        <f t="shared" si="46"/>
        <v>0</v>
      </c>
      <c r="AN87" s="21">
        <f t="shared" si="46"/>
        <v>0</v>
      </c>
      <c r="AO87" s="21">
        <f t="shared" si="46"/>
        <v>0</v>
      </c>
      <c r="AP87" s="21">
        <f t="shared" si="46"/>
        <v>0</v>
      </c>
      <c r="AQ87" s="21">
        <f t="shared" si="46"/>
        <v>0</v>
      </c>
      <c r="AR87" s="21">
        <f t="shared" si="46"/>
        <v>1000</v>
      </c>
      <c r="AS87" s="21">
        <f t="shared" si="46"/>
        <v>0</v>
      </c>
      <c r="AT87" s="21">
        <f t="shared" si="46"/>
        <v>0</v>
      </c>
      <c r="AU87" s="21">
        <f t="shared" si="46"/>
        <v>0</v>
      </c>
      <c r="AV87" s="21">
        <f t="shared" si="46"/>
        <v>0</v>
      </c>
      <c r="AW87" s="21">
        <f t="shared" si="46"/>
        <v>301</v>
      </c>
      <c r="AX87" s="21">
        <f t="shared" si="46"/>
        <v>0</v>
      </c>
      <c r="AY87" s="21">
        <f t="shared" si="46"/>
        <v>0</v>
      </c>
      <c r="AZ87" s="21">
        <f t="shared" si="46"/>
        <v>600</v>
      </c>
      <c r="BA87" s="21">
        <f t="shared" si="46"/>
        <v>200</v>
      </c>
      <c r="BB87" s="21">
        <f t="shared" si="46"/>
        <v>0</v>
      </c>
      <c r="BC87" s="21">
        <f t="shared" si="46"/>
        <v>0</v>
      </c>
      <c r="BD87" s="21">
        <f t="shared" si="46"/>
        <v>0</v>
      </c>
      <c r="BE87" s="21">
        <f t="shared" si="46"/>
        <v>0</v>
      </c>
      <c r="BF87" s="21">
        <f t="shared" si="46"/>
        <v>0</v>
      </c>
      <c r="BG87" s="21">
        <f t="shared" si="46"/>
        <v>0</v>
      </c>
      <c r="BH87" s="21">
        <f t="shared" si="46"/>
        <v>0</v>
      </c>
      <c r="BI87" s="21">
        <f t="shared" si="46"/>
        <v>0</v>
      </c>
      <c r="BJ87" s="21">
        <f t="shared" si="46"/>
        <v>0</v>
      </c>
      <c r="BK87" s="21">
        <f t="shared" si="46"/>
        <v>0</v>
      </c>
      <c r="BL87" s="21">
        <f t="shared" si="46"/>
        <v>0</v>
      </c>
      <c r="BM87" s="21">
        <f t="shared" si="46"/>
        <v>0</v>
      </c>
      <c r="BN87" s="21">
        <f t="shared" si="46"/>
        <v>0</v>
      </c>
    </row>
    <row r="88" spans="1:66" x14ac:dyDescent="0.25">
      <c r="A88" s="116" t="s">
        <v>242</v>
      </c>
      <c r="B88" s="116" t="s">
        <v>243</v>
      </c>
      <c r="C88" s="117" t="s">
        <v>37</v>
      </c>
      <c r="D88" s="116" t="s">
        <v>86</v>
      </c>
      <c r="E88" s="27">
        <v>2946569504</v>
      </c>
      <c r="F88" s="26" t="s">
        <v>95</v>
      </c>
      <c r="G88" s="28">
        <v>46087</v>
      </c>
      <c r="H88" s="29">
        <v>15000</v>
      </c>
      <c r="I88" s="30">
        <v>0</v>
      </c>
      <c r="J88" s="30">
        <v>0</v>
      </c>
      <c r="K88" s="30">
        <f t="shared" ref="K88" si="47">SUM(AJ88:BN88)</f>
        <v>0</v>
      </c>
      <c r="L88" s="31">
        <v>0</v>
      </c>
      <c r="M88" s="30">
        <v>0</v>
      </c>
      <c r="N88" s="30">
        <v>0</v>
      </c>
      <c r="O88" s="30">
        <f t="shared" si="35"/>
        <v>0</v>
      </c>
      <c r="P88" s="32" t="e">
        <f>K88*100/I88</f>
        <v>#DIV/0!</v>
      </c>
      <c r="Q88" s="33">
        <v>31</v>
      </c>
      <c r="R88" s="33">
        <v>0</v>
      </c>
      <c r="S88" s="33">
        <v>0</v>
      </c>
      <c r="T88" s="29">
        <f t="shared" si="43"/>
        <v>31</v>
      </c>
      <c r="U88" s="34">
        <f>H88*T88/31</f>
        <v>15000</v>
      </c>
      <c r="V88" s="34">
        <f t="shared" si="44"/>
        <v>0</v>
      </c>
      <c r="W88" s="34">
        <v>0</v>
      </c>
      <c r="X88" s="35">
        <f>SUM(U88:W88)</f>
        <v>15000</v>
      </c>
      <c r="Y88" s="34">
        <v>0</v>
      </c>
      <c r="Z88" s="34">
        <v>0</v>
      </c>
      <c r="AA88" s="35">
        <v>0</v>
      </c>
      <c r="AB88" s="35">
        <f t="shared" si="36"/>
        <v>15000</v>
      </c>
      <c r="AC88" s="36">
        <v>0</v>
      </c>
      <c r="AD88" s="36">
        <v>0</v>
      </c>
      <c r="AE88" s="37">
        <v>0</v>
      </c>
      <c r="AF88" s="38">
        <v>0</v>
      </c>
      <c r="AG88" s="37"/>
      <c r="AH88" s="38"/>
      <c r="AI88" s="37">
        <v>0</v>
      </c>
      <c r="AJ88" s="39">
        <v>0</v>
      </c>
      <c r="AK88" s="40">
        <v>0</v>
      </c>
      <c r="AL88" s="40">
        <v>0</v>
      </c>
      <c r="AM88" s="40">
        <v>0</v>
      </c>
      <c r="AN88" s="40">
        <v>0</v>
      </c>
      <c r="AO88" s="40">
        <v>0</v>
      </c>
      <c r="AP88" s="40">
        <v>0</v>
      </c>
      <c r="AQ88" s="40">
        <v>0</v>
      </c>
      <c r="AR88" s="40">
        <v>0</v>
      </c>
      <c r="AS88" s="40">
        <v>0</v>
      </c>
      <c r="AT88" s="40">
        <v>0</v>
      </c>
      <c r="AU88" s="40">
        <v>0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>
        <v>0</v>
      </c>
      <c r="BF88" s="40">
        <v>0</v>
      </c>
      <c r="BG88" s="40">
        <v>0</v>
      </c>
      <c r="BH88" s="40">
        <v>0</v>
      </c>
      <c r="BI88" s="40">
        <v>0</v>
      </c>
      <c r="BJ88" s="40">
        <v>0</v>
      </c>
      <c r="BK88" s="40">
        <v>0</v>
      </c>
      <c r="BL88" s="40">
        <v>0</v>
      </c>
      <c r="BM88" s="40">
        <v>0</v>
      </c>
      <c r="BN88" s="40">
        <v>0</v>
      </c>
    </row>
    <row r="89" spans="1:66" x14ac:dyDescent="0.25">
      <c r="A89" s="25" t="s">
        <v>244</v>
      </c>
      <c r="B89" s="41" t="s">
        <v>245</v>
      </c>
      <c r="C89" s="42" t="s">
        <v>53</v>
      </c>
      <c r="D89" s="41" t="s">
        <v>38</v>
      </c>
      <c r="E89" s="43">
        <v>569002010004932</v>
      </c>
      <c r="F89" s="26" t="s">
        <v>91</v>
      </c>
      <c r="G89" s="28">
        <v>46212</v>
      </c>
      <c r="H89" s="29">
        <v>11000</v>
      </c>
      <c r="I89" s="29">
        <v>11000</v>
      </c>
      <c r="J89" s="30">
        <v>11000</v>
      </c>
      <c r="K89" s="30">
        <f>SUM(AJ89:BN89)</f>
        <v>2101</v>
      </c>
      <c r="L89" s="31">
        <v>0</v>
      </c>
      <c r="M89" s="30">
        <v>0</v>
      </c>
      <c r="N89" s="30">
        <v>2101</v>
      </c>
      <c r="O89" s="30">
        <f t="shared" si="35"/>
        <v>-8899</v>
      </c>
      <c r="P89" s="32">
        <f>K89*100/I89</f>
        <v>19.100000000000001</v>
      </c>
      <c r="Q89" s="33">
        <v>23</v>
      </c>
      <c r="R89" s="33">
        <v>0</v>
      </c>
      <c r="S89" s="33">
        <v>0</v>
      </c>
      <c r="T89" s="29">
        <f>Q89-R89+S89</f>
        <v>23</v>
      </c>
      <c r="U89" s="34">
        <f>H89*T89/31</f>
        <v>8161.2903225806449</v>
      </c>
      <c r="V89" s="34">
        <v>0</v>
      </c>
      <c r="W89" s="34">
        <v>0</v>
      </c>
      <c r="X89" s="35">
        <f>SUM(U89:W89)</f>
        <v>8161.2903225806449</v>
      </c>
      <c r="Y89" s="34">
        <v>0</v>
      </c>
      <c r="Z89" s="34">
        <v>0</v>
      </c>
      <c r="AA89" s="35">
        <v>0</v>
      </c>
      <c r="AB89" s="35">
        <f t="shared" si="36"/>
        <v>8161.2903225806449</v>
      </c>
      <c r="AC89" s="36">
        <v>0</v>
      </c>
      <c r="AD89" s="36">
        <v>0</v>
      </c>
      <c r="AE89" s="37">
        <v>0</v>
      </c>
      <c r="AF89" s="38">
        <v>0</v>
      </c>
      <c r="AG89" s="37"/>
      <c r="AH89" s="38"/>
      <c r="AI89" s="37">
        <v>0</v>
      </c>
      <c r="AJ89" s="39"/>
      <c r="AK89" s="40"/>
      <c r="AL89" s="40"/>
      <c r="AM89" s="40"/>
      <c r="AN89" s="40"/>
      <c r="AO89" s="40"/>
      <c r="AP89" s="40"/>
      <c r="AQ89" s="40"/>
      <c r="AR89" s="40">
        <v>1000</v>
      </c>
      <c r="AS89" s="40"/>
      <c r="AT89" s="40"/>
      <c r="AU89" s="40"/>
      <c r="AV89" s="40"/>
      <c r="AW89" s="40">
        <v>301</v>
      </c>
      <c r="AX89" s="40"/>
      <c r="AY89" s="40"/>
      <c r="AZ89" s="40">
        <v>600</v>
      </c>
      <c r="BA89" s="40">
        <v>200</v>
      </c>
      <c r="BB89" s="40"/>
      <c r="BC89" s="40"/>
      <c r="BD89" s="40"/>
      <c r="BE89" s="40"/>
      <c r="BF89" s="40">
        <v>0</v>
      </c>
      <c r="BG89" s="40">
        <v>0</v>
      </c>
      <c r="BH89" s="40">
        <v>0</v>
      </c>
      <c r="BI89" s="40">
        <v>0</v>
      </c>
      <c r="BJ89" s="40">
        <v>0</v>
      </c>
      <c r="BK89" s="40">
        <v>0</v>
      </c>
      <c r="BL89" s="40">
        <v>0</v>
      </c>
      <c r="BM89" s="40">
        <v>0</v>
      </c>
      <c r="BN89" s="40">
        <v>0</v>
      </c>
    </row>
    <row r="90" spans="1:66" s="24" customFormat="1" x14ac:dyDescent="0.25">
      <c r="A90" s="17" t="s">
        <v>246</v>
      </c>
      <c r="B90" s="17"/>
      <c r="C90" s="18"/>
      <c r="D90" s="17"/>
      <c r="E90" s="19"/>
      <c r="F90" s="18"/>
      <c r="G90" s="20"/>
      <c r="H90" s="21">
        <f t="shared" ref="H90:N90" si="48">H2+H15+H21+H33+H40+H53+H71+H87</f>
        <v>1001500</v>
      </c>
      <c r="I90" s="21">
        <f t="shared" si="48"/>
        <v>3696500</v>
      </c>
      <c r="J90" s="21">
        <f t="shared" si="48"/>
        <v>3837000</v>
      </c>
      <c r="K90" s="21">
        <f t="shared" si="48"/>
        <v>2497442</v>
      </c>
      <c r="L90" s="22">
        <f t="shared" si="48"/>
        <v>1299248</v>
      </c>
      <c r="M90" s="21">
        <f t="shared" si="48"/>
        <v>870475</v>
      </c>
      <c r="N90" s="21">
        <f t="shared" si="48"/>
        <v>327719</v>
      </c>
      <c r="O90" s="21">
        <f t="shared" si="35"/>
        <v>-1339558</v>
      </c>
      <c r="P90" s="23" t="e">
        <f>P2+P15+P21+P33+P40+P53+P71+P87</f>
        <v>#DIV/0!</v>
      </c>
      <c r="Q90" s="22">
        <f>Q2+Q15+Q21+Q33+Q40+Q53+Q71+Q87</f>
        <v>1778.5</v>
      </c>
      <c r="R90" s="22">
        <f>R2+R15+R21+R33+R40+R53+R71+R87</f>
        <v>6</v>
      </c>
      <c r="S90" s="22">
        <f>S2+S15+S21+S33+S40+S53+S71+S87</f>
        <v>0</v>
      </c>
      <c r="T90" s="22">
        <f t="shared" si="43"/>
        <v>1772.5</v>
      </c>
      <c r="U90" s="22">
        <f>H90*T90/31</f>
        <v>57263185.483870968</v>
      </c>
      <c r="V90" s="22">
        <f t="shared" ref="V90:BN90" si="49">V2+V15+V21+V33+V40+V53+V71+V87</f>
        <v>3369.5</v>
      </c>
      <c r="W90" s="22">
        <f t="shared" si="49"/>
        <v>0</v>
      </c>
      <c r="X90" s="22">
        <f t="shared" si="49"/>
        <v>784600.1451612903</v>
      </c>
      <c r="Y90" s="22">
        <f t="shared" si="49"/>
        <v>0</v>
      </c>
      <c r="Z90" s="22">
        <f t="shared" si="49"/>
        <v>900</v>
      </c>
      <c r="AA90" s="22">
        <f t="shared" si="49"/>
        <v>13470</v>
      </c>
      <c r="AB90" s="22">
        <f t="shared" si="36"/>
        <v>772030.1451612903</v>
      </c>
      <c r="AC90" s="22">
        <f t="shared" si="49"/>
        <v>0</v>
      </c>
      <c r="AD90" s="22">
        <f t="shared" si="49"/>
        <v>0</v>
      </c>
      <c r="AE90" s="22">
        <f t="shared" si="49"/>
        <v>0</v>
      </c>
      <c r="AF90" s="22">
        <f t="shared" si="49"/>
        <v>0</v>
      </c>
      <c r="AG90" s="22">
        <f t="shared" si="49"/>
        <v>0</v>
      </c>
      <c r="AH90" s="22">
        <f t="shared" si="49"/>
        <v>0</v>
      </c>
      <c r="AI90" s="22">
        <f t="shared" si="49"/>
        <v>0</v>
      </c>
      <c r="AJ90" s="22">
        <f t="shared" si="49"/>
        <v>124245</v>
      </c>
      <c r="AK90" s="22">
        <f t="shared" si="49"/>
        <v>144664</v>
      </c>
      <c r="AL90" s="22">
        <f t="shared" si="49"/>
        <v>170727</v>
      </c>
      <c r="AM90" s="22">
        <f t="shared" si="49"/>
        <v>91861</v>
      </c>
      <c r="AN90" s="22">
        <f t="shared" si="49"/>
        <v>5950</v>
      </c>
      <c r="AO90" s="22">
        <f t="shared" si="49"/>
        <v>108356</v>
      </c>
      <c r="AP90" s="22">
        <f t="shared" si="49"/>
        <v>74560</v>
      </c>
      <c r="AQ90" s="22">
        <f t="shared" si="49"/>
        <v>88328</v>
      </c>
      <c r="AR90" s="22">
        <f t="shared" si="49"/>
        <v>132395</v>
      </c>
      <c r="AS90" s="22">
        <f t="shared" si="49"/>
        <v>56840</v>
      </c>
      <c r="AT90" s="22">
        <f t="shared" si="49"/>
        <v>64028</v>
      </c>
      <c r="AU90" s="22">
        <f t="shared" si="49"/>
        <v>9831</v>
      </c>
      <c r="AV90" s="22">
        <f t="shared" si="49"/>
        <v>60104</v>
      </c>
      <c r="AW90" s="22">
        <f t="shared" si="49"/>
        <v>65189</v>
      </c>
      <c r="AX90" s="22">
        <f t="shared" si="49"/>
        <v>188119</v>
      </c>
      <c r="AY90" s="22">
        <f t="shared" si="49"/>
        <v>44961</v>
      </c>
      <c r="AZ90" s="22">
        <f t="shared" si="49"/>
        <v>81266</v>
      </c>
      <c r="BA90" s="22">
        <f t="shared" si="49"/>
        <v>147581</v>
      </c>
      <c r="BB90" s="22">
        <f t="shared" si="49"/>
        <v>2860</v>
      </c>
      <c r="BC90" s="22">
        <f t="shared" si="49"/>
        <v>80271</v>
      </c>
      <c r="BD90" s="22">
        <f t="shared" si="49"/>
        <v>61357</v>
      </c>
      <c r="BE90" s="22">
        <f t="shared" si="49"/>
        <v>46494</v>
      </c>
      <c r="BF90" s="22">
        <f t="shared" si="49"/>
        <v>81760</v>
      </c>
      <c r="BG90" s="22">
        <f t="shared" si="49"/>
        <v>63243</v>
      </c>
      <c r="BH90" s="22">
        <f t="shared" si="49"/>
        <v>92402</v>
      </c>
      <c r="BI90" s="21">
        <f t="shared" si="49"/>
        <v>36027</v>
      </c>
      <c r="BJ90" s="21">
        <f t="shared" si="49"/>
        <v>71157</v>
      </c>
      <c r="BK90" s="21">
        <f t="shared" si="49"/>
        <v>46311</v>
      </c>
      <c r="BL90" s="21">
        <f t="shared" si="49"/>
        <v>98707</v>
      </c>
      <c r="BM90" s="21">
        <f t="shared" si="49"/>
        <v>83037</v>
      </c>
      <c r="BN90" s="21">
        <f t="shared" si="49"/>
        <v>74811</v>
      </c>
    </row>
    <row r="91" spans="1:66" s="24" customFormat="1" x14ac:dyDescent="0.25">
      <c r="A91" s="17" t="s">
        <v>247</v>
      </c>
      <c r="B91" s="17"/>
      <c r="C91" s="18"/>
      <c r="D91" s="17"/>
      <c r="E91" s="19"/>
      <c r="F91" s="18"/>
      <c r="G91" s="20"/>
      <c r="H91" s="21">
        <v>0</v>
      </c>
      <c r="I91" s="21">
        <v>0</v>
      </c>
      <c r="J91" s="21">
        <v>0</v>
      </c>
      <c r="K91" s="21">
        <f>SUM(L91+M91+N91)</f>
        <v>2497442</v>
      </c>
      <c r="L91" s="22">
        <v>1299248</v>
      </c>
      <c r="M91" s="21">
        <v>870475</v>
      </c>
      <c r="N91" s="21">
        <v>327719</v>
      </c>
      <c r="O91" s="21">
        <f t="shared" si="35"/>
        <v>2497442</v>
      </c>
      <c r="P91" s="23">
        <v>0</v>
      </c>
      <c r="Q91" s="22">
        <v>0</v>
      </c>
      <c r="R91" s="22">
        <v>0</v>
      </c>
      <c r="S91" s="22">
        <v>0</v>
      </c>
      <c r="T91" s="22">
        <f t="shared" si="43"/>
        <v>0</v>
      </c>
      <c r="U91" s="22">
        <f>H91*T91/31</f>
        <v>0</v>
      </c>
      <c r="V91" s="22">
        <v>0</v>
      </c>
      <c r="W91" s="22">
        <v>0</v>
      </c>
      <c r="X91" s="22">
        <v>0</v>
      </c>
      <c r="Y91" s="22">
        <v>0</v>
      </c>
      <c r="Z91" s="22">
        <v>0</v>
      </c>
      <c r="AA91" s="22">
        <v>0</v>
      </c>
      <c r="AB91" s="22">
        <f t="shared" si="36"/>
        <v>0</v>
      </c>
      <c r="AC91" s="22">
        <v>0</v>
      </c>
      <c r="AD91" s="22">
        <v>0</v>
      </c>
      <c r="AE91" s="22">
        <v>0</v>
      </c>
      <c r="AF91" s="22">
        <v>0</v>
      </c>
      <c r="AG91" s="22">
        <v>0</v>
      </c>
      <c r="AH91" s="22">
        <v>0</v>
      </c>
      <c r="AI91" s="22">
        <v>0</v>
      </c>
      <c r="AJ91" s="22">
        <v>0</v>
      </c>
      <c r="AK91" s="22">
        <v>0</v>
      </c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  <c r="AR91" s="22">
        <v>0</v>
      </c>
      <c r="AS91" s="22">
        <v>0</v>
      </c>
      <c r="AT91" s="22">
        <v>0</v>
      </c>
      <c r="AU91" s="22">
        <v>0</v>
      </c>
      <c r="AV91" s="22">
        <v>0</v>
      </c>
      <c r="AW91" s="22">
        <v>0</v>
      </c>
      <c r="AX91" s="22">
        <v>0</v>
      </c>
      <c r="AY91" s="22">
        <v>0</v>
      </c>
      <c r="AZ91" s="22">
        <v>0</v>
      </c>
      <c r="BA91" s="22">
        <v>0</v>
      </c>
      <c r="BB91" s="22">
        <v>0</v>
      </c>
      <c r="BC91" s="22">
        <v>0</v>
      </c>
      <c r="BD91" s="22">
        <v>0</v>
      </c>
      <c r="BE91" s="22">
        <v>0</v>
      </c>
      <c r="BF91" s="22">
        <v>0</v>
      </c>
      <c r="BG91" s="22">
        <v>0</v>
      </c>
      <c r="BH91" s="22">
        <v>0</v>
      </c>
      <c r="BI91" s="21">
        <v>0</v>
      </c>
      <c r="BJ91" s="21">
        <v>0</v>
      </c>
      <c r="BK91" s="21">
        <v>0</v>
      </c>
      <c r="BL91" s="21">
        <v>0</v>
      </c>
      <c r="BM91" s="21">
        <v>0</v>
      </c>
      <c r="BN91" s="21">
        <v>0</v>
      </c>
    </row>
    <row r="92" spans="1:66" s="24" customFormat="1" x14ac:dyDescent="0.25">
      <c r="A92" s="17" t="s">
        <v>248</v>
      </c>
      <c r="B92" s="17"/>
      <c r="C92" s="18"/>
      <c r="D92" s="17"/>
      <c r="E92" s="19"/>
      <c r="F92" s="18"/>
      <c r="G92" s="20"/>
      <c r="H92" s="21">
        <v>0</v>
      </c>
      <c r="I92" s="21">
        <v>0</v>
      </c>
      <c r="J92" s="21">
        <v>0</v>
      </c>
      <c r="K92" s="21">
        <f>K91-K90</f>
        <v>0</v>
      </c>
      <c r="L92" s="22">
        <f t="shared" ref="L92:N92" si="50">L91-L90</f>
        <v>0</v>
      </c>
      <c r="M92" s="21">
        <f t="shared" si="50"/>
        <v>0</v>
      </c>
      <c r="N92" s="21">
        <f t="shared" si="50"/>
        <v>0</v>
      </c>
      <c r="O92" s="21">
        <f t="shared" si="35"/>
        <v>0</v>
      </c>
      <c r="P92" s="23">
        <v>0</v>
      </c>
      <c r="Q92" s="22">
        <v>0</v>
      </c>
      <c r="R92" s="22">
        <v>0</v>
      </c>
      <c r="S92" s="22">
        <v>0</v>
      </c>
      <c r="T92" s="22">
        <f t="shared" si="43"/>
        <v>0</v>
      </c>
      <c r="U92" s="22">
        <v>0</v>
      </c>
      <c r="V92" s="22">
        <v>0</v>
      </c>
      <c r="W92" s="22">
        <v>0</v>
      </c>
      <c r="X92" s="22">
        <v>0</v>
      </c>
      <c r="Y92" s="22">
        <v>0</v>
      </c>
      <c r="Z92" s="22">
        <v>0</v>
      </c>
      <c r="AA92" s="22">
        <v>0</v>
      </c>
      <c r="AB92" s="22">
        <f t="shared" si="36"/>
        <v>0</v>
      </c>
      <c r="AC92" s="22">
        <v>0</v>
      </c>
      <c r="AD92" s="22">
        <v>0</v>
      </c>
      <c r="AE92" s="22">
        <v>0</v>
      </c>
      <c r="AF92" s="22">
        <v>0</v>
      </c>
      <c r="AG92" s="22">
        <v>0</v>
      </c>
      <c r="AH92" s="22">
        <v>0</v>
      </c>
      <c r="AI92" s="22">
        <v>0</v>
      </c>
      <c r="AJ92" s="22">
        <v>0</v>
      </c>
      <c r="AK92" s="22">
        <v>0</v>
      </c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  <c r="AR92" s="22">
        <v>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22">
        <v>0</v>
      </c>
      <c r="AY92" s="22">
        <v>0</v>
      </c>
      <c r="AZ92" s="22">
        <v>0</v>
      </c>
      <c r="BA92" s="22">
        <v>0</v>
      </c>
      <c r="BB92" s="22">
        <v>0</v>
      </c>
      <c r="BC92" s="22">
        <v>0</v>
      </c>
      <c r="BD92" s="22">
        <v>0</v>
      </c>
      <c r="BE92" s="22">
        <v>0</v>
      </c>
      <c r="BF92" s="22">
        <v>0</v>
      </c>
      <c r="BG92" s="22">
        <v>0</v>
      </c>
      <c r="BH92" s="22">
        <v>0</v>
      </c>
      <c r="BI92" s="21">
        <v>0</v>
      </c>
      <c r="BJ92" s="21">
        <v>0</v>
      </c>
      <c r="BK92" s="21">
        <v>0</v>
      </c>
      <c r="BL92" s="21">
        <v>0</v>
      </c>
      <c r="BM92" s="21">
        <v>0</v>
      </c>
      <c r="BN92" s="21">
        <v>0</v>
      </c>
    </row>
  </sheetData>
  <conditionalFormatting sqref="A88 A1:A2 A63 A72:A76">
    <cfRule type="duplicateValues" dxfId="58" priority="54"/>
  </conditionalFormatting>
  <conditionalFormatting sqref="A55">
    <cfRule type="duplicateValues" dxfId="57" priority="53"/>
  </conditionalFormatting>
  <conditionalFormatting sqref="A41">
    <cfRule type="duplicateValues" dxfId="56" priority="52"/>
  </conditionalFormatting>
  <conditionalFormatting sqref="A64">
    <cfRule type="duplicateValues" dxfId="55" priority="51"/>
  </conditionalFormatting>
  <conditionalFormatting sqref="A66">
    <cfRule type="duplicateValues" dxfId="54" priority="50"/>
  </conditionalFormatting>
  <conditionalFormatting sqref="A20">
    <cfRule type="duplicateValues" dxfId="53" priority="55"/>
  </conditionalFormatting>
  <conditionalFormatting sqref="A3:A4 A14">
    <cfRule type="duplicateValues" dxfId="52" priority="49"/>
  </conditionalFormatting>
  <conditionalFormatting sqref="A61">
    <cfRule type="duplicateValues" dxfId="51" priority="48"/>
  </conditionalFormatting>
  <conditionalFormatting sqref="A47">
    <cfRule type="duplicateValues" dxfId="50" priority="47"/>
  </conditionalFormatting>
  <conditionalFormatting sqref="A48">
    <cfRule type="duplicateValues" dxfId="49" priority="46"/>
  </conditionalFormatting>
  <conditionalFormatting sqref="A30">
    <cfRule type="duplicateValues" dxfId="48" priority="45"/>
  </conditionalFormatting>
  <conditionalFormatting sqref="A56">
    <cfRule type="duplicateValues" dxfId="47" priority="44"/>
  </conditionalFormatting>
  <conditionalFormatting sqref="A55:A56 A69:A70 A58:A67">
    <cfRule type="duplicateValues" dxfId="46" priority="43"/>
  </conditionalFormatting>
  <conditionalFormatting sqref="A65 A17 A26">
    <cfRule type="duplicateValues" dxfId="45" priority="56"/>
  </conditionalFormatting>
  <conditionalFormatting sqref="A89">
    <cfRule type="duplicateValues" dxfId="44" priority="41"/>
  </conditionalFormatting>
  <conditionalFormatting sqref="A89">
    <cfRule type="duplicateValues" dxfId="43" priority="42"/>
  </conditionalFormatting>
  <conditionalFormatting sqref="A84">
    <cfRule type="duplicateValues" dxfId="42" priority="40"/>
  </conditionalFormatting>
  <conditionalFormatting sqref="A79">
    <cfRule type="duplicateValues" dxfId="41" priority="39"/>
  </conditionalFormatting>
  <conditionalFormatting sqref="A7">
    <cfRule type="duplicateValues" dxfId="40" priority="38"/>
  </conditionalFormatting>
  <conditionalFormatting sqref="A32">
    <cfRule type="duplicateValues" dxfId="39" priority="37"/>
  </conditionalFormatting>
  <conditionalFormatting sqref="A28">
    <cfRule type="duplicateValues" dxfId="38" priority="36"/>
  </conditionalFormatting>
  <conditionalFormatting sqref="A6">
    <cfRule type="duplicateValues" dxfId="37" priority="35"/>
  </conditionalFormatting>
  <conditionalFormatting sqref="A8">
    <cfRule type="duplicateValues" dxfId="36" priority="34"/>
  </conditionalFormatting>
  <conditionalFormatting sqref="A10">
    <cfRule type="duplicateValues" dxfId="35" priority="33"/>
  </conditionalFormatting>
  <conditionalFormatting sqref="A12">
    <cfRule type="duplicateValues" dxfId="34" priority="32"/>
  </conditionalFormatting>
  <conditionalFormatting sqref="A13">
    <cfRule type="duplicateValues" dxfId="33" priority="31"/>
  </conditionalFormatting>
  <conditionalFormatting sqref="A24">
    <cfRule type="duplicateValues" dxfId="32" priority="30"/>
  </conditionalFormatting>
  <conditionalFormatting sqref="A25">
    <cfRule type="duplicateValues" dxfId="31" priority="29"/>
  </conditionalFormatting>
  <conditionalFormatting sqref="A27">
    <cfRule type="duplicateValues" dxfId="30" priority="28"/>
  </conditionalFormatting>
  <conditionalFormatting sqref="A29">
    <cfRule type="duplicateValues" dxfId="29" priority="27"/>
  </conditionalFormatting>
  <conditionalFormatting sqref="A31">
    <cfRule type="duplicateValues" dxfId="28" priority="26"/>
  </conditionalFormatting>
  <conditionalFormatting sqref="A9">
    <cfRule type="duplicateValues" dxfId="27" priority="25"/>
  </conditionalFormatting>
  <conditionalFormatting sqref="A11">
    <cfRule type="duplicateValues" dxfId="26" priority="24"/>
  </conditionalFormatting>
  <conditionalFormatting sqref="A23">
    <cfRule type="duplicateValues" dxfId="25" priority="23"/>
  </conditionalFormatting>
  <conditionalFormatting sqref="A16">
    <cfRule type="duplicateValues" dxfId="24" priority="22"/>
  </conditionalFormatting>
  <conditionalFormatting sqref="A18">
    <cfRule type="duplicateValues" dxfId="23" priority="21"/>
  </conditionalFormatting>
  <conditionalFormatting sqref="A58:A60 A41 A49:A50 A45:A46 A70">
    <cfRule type="duplicateValues" dxfId="22" priority="57"/>
  </conditionalFormatting>
  <conditionalFormatting sqref="A54">
    <cfRule type="duplicateValues" dxfId="21" priority="58"/>
  </conditionalFormatting>
  <conditionalFormatting sqref="A15">
    <cfRule type="duplicateValues" dxfId="20" priority="20"/>
  </conditionalFormatting>
  <conditionalFormatting sqref="A21">
    <cfRule type="duplicateValues" dxfId="19" priority="19"/>
  </conditionalFormatting>
  <conditionalFormatting sqref="A33">
    <cfRule type="duplicateValues" dxfId="18" priority="18"/>
  </conditionalFormatting>
  <conditionalFormatting sqref="A40">
    <cfRule type="duplicateValues" dxfId="17" priority="17"/>
  </conditionalFormatting>
  <conditionalFormatting sqref="A71">
    <cfRule type="duplicateValues" dxfId="16" priority="16"/>
  </conditionalFormatting>
  <conditionalFormatting sqref="A87">
    <cfRule type="duplicateValues" dxfId="15" priority="15"/>
  </conditionalFormatting>
  <conditionalFormatting sqref="A90:A92">
    <cfRule type="duplicateValues" dxfId="14" priority="14"/>
  </conditionalFormatting>
  <conditionalFormatting sqref="A53">
    <cfRule type="duplicateValues" dxfId="13" priority="13"/>
  </conditionalFormatting>
  <conditionalFormatting sqref="A85:A86 A77 A80:A83 A62">
    <cfRule type="duplicateValues" dxfId="12" priority="59"/>
  </conditionalFormatting>
  <conditionalFormatting sqref="A68">
    <cfRule type="duplicateValues" dxfId="11" priority="12"/>
  </conditionalFormatting>
  <conditionalFormatting sqref="A52">
    <cfRule type="duplicateValues" dxfId="10" priority="11"/>
  </conditionalFormatting>
  <conditionalFormatting sqref="A43">
    <cfRule type="duplicateValues" dxfId="9" priority="10"/>
  </conditionalFormatting>
  <conditionalFormatting sqref="A51">
    <cfRule type="duplicateValues" dxfId="8" priority="9"/>
  </conditionalFormatting>
  <conditionalFormatting sqref="A44">
    <cfRule type="duplicateValues" dxfId="7" priority="8"/>
  </conditionalFormatting>
  <conditionalFormatting sqref="A22">
    <cfRule type="duplicateValues" dxfId="6" priority="7"/>
  </conditionalFormatting>
  <conditionalFormatting sqref="A57">
    <cfRule type="duplicateValues" dxfId="5" priority="6"/>
  </conditionalFormatting>
  <conditionalFormatting sqref="A19">
    <cfRule type="duplicateValues" dxfId="4" priority="5"/>
  </conditionalFormatting>
  <conditionalFormatting sqref="A5">
    <cfRule type="duplicateValues" dxfId="3" priority="4"/>
  </conditionalFormatting>
  <conditionalFormatting sqref="A78">
    <cfRule type="duplicateValues" dxfId="2" priority="3"/>
  </conditionalFormatting>
  <conditionalFormatting sqref="A42">
    <cfRule type="duplicateValues" dxfId="1" priority="1"/>
  </conditionalFormatting>
  <conditionalFormatting sqref="A42">
    <cfRule type="duplicateValues" dxfId="0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2026-08-05T12:47:04Z</dcterms:created>
  <dcterms:modified xsi:type="dcterms:W3CDTF">2026-08-05T12:48:11Z</dcterms:modified>
</cp:coreProperties>
</file>